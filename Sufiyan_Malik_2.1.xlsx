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usre\Downloads\"/>
    </mc:Choice>
  </mc:AlternateContent>
  <xr:revisionPtr revIDLastSave="0" documentId="8_{EBA4031B-EBFD-4D9A-A745-B84003E71C1A}" xr6:coauthVersionLast="47" xr6:coauthVersionMax="47" xr10:uidLastSave="{00000000-0000-0000-0000-000000000000}"/>
  <bookViews>
    <workbookView xWindow="-108" yWindow="-108" windowWidth="23256" windowHeight="12576" activeTab="7" xr2:uid="{346724B3-1C49-40AE-AA36-C77CF5D6DD09}"/>
  </bookViews>
  <sheets>
    <sheet name="Sheet1" sheetId="5" r:id="rId1"/>
    <sheet name="Sheet5" sheetId="9" r:id="rId2"/>
    <sheet name="pivot" sheetId="10" r:id="rId3"/>
    <sheet name="Sheet7" sheetId="11" r:id="rId4"/>
    <sheet name="Sheet3" sheetId="13" r:id="rId5"/>
    <sheet name="Sheet6" sheetId="14" r:id="rId6"/>
    <sheet name="Data" sheetId="1" r:id="rId7"/>
    <sheet name="myd" sheetId="7" r:id="rId8"/>
  </sheets>
  <definedNames>
    <definedName name="_xlchart.v5.0" hidden="1">Sheet6!$F$52:$G$52</definedName>
    <definedName name="_xlchart.v5.1" hidden="1">Sheet6!$F$53:$G$110</definedName>
    <definedName name="_xlchart.v5.10" hidden="1">Sheet6!$F$52:$G$52</definedName>
    <definedName name="_xlchart.v5.11" hidden="1">Sheet6!$F$53:$G$110</definedName>
    <definedName name="_xlchart.v5.12" hidden="1">Sheet6!$H$52</definedName>
    <definedName name="_xlchart.v5.13" hidden="1">Sheet6!$H$53:$H$110</definedName>
    <definedName name="_xlchart.v5.14" hidden="1">Sheet6!$F$52:$G$52</definedName>
    <definedName name="_xlchart.v5.15" hidden="1">Sheet6!$F$53:$G$110</definedName>
    <definedName name="_xlchart.v5.16" hidden="1">Sheet6!$H$52</definedName>
    <definedName name="_xlchart.v5.17" hidden="1">Sheet6!$H$53:$H$110</definedName>
    <definedName name="_xlchart.v5.2" hidden="1">Sheet6!$H$52</definedName>
    <definedName name="_xlchart.v5.3" hidden="1">Sheet6!$H$53:$H$110</definedName>
    <definedName name="_xlchart.v5.4" hidden="1">Sheet6!$J$52:$K$52</definedName>
    <definedName name="_xlchart.v5.5" hidden="1">Sheet6!$J$53:$K$111</definedName>
    <definedName name="_xlchart.v5.6" hidden="1">Sheet6!$L$52</definedName>
    <definedName name="_xlchart.v5.7" hidden="1">Sheet6!$L$53:$L$111</definedName>
    <definedName name="_xlchart.v5.8" hidden="1">Sheet6!$M$52</definedName>
    <definedName name="_xlchart.v5.9" hidden="1">Sheet6!$M$53:$M$111</definedName>
    <definedName name="Slicer_Gender_Value">#N/A</definedName>
    <definedName name="Slicer_Order_Mod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 i="14" l="1"/>
  <c r="G54" i="14"/>
  <c r="H54" i="14"/>
  <c r="F55" i="14"/>
  <c r="G55" i="14"/>
  <c r="H55" i="14"/>
  <c r="F56" i="14"/>
  <c r="G56" i="14"/>
  <c r="H56" i="14"/>
  <c r="F57" i="14"/>
  <c r="G57" i="14"/>
  <c r="H57" i="14"/>
  <c r="F58" i="14"/>
  <c r="G58" i="14"/>
  <c r="H58" i="14"/>
  <c r="F59" i="14"/>
  <c r="G59" i="14"/>
  <c r="H59" i="14"/>
  <c r="F60" i="14"/>
  <c r="G60" i="14"/>
  <c r="H60" i="14"/>
  <c r="F61" i="14"/>
  <c r="G61" i="14"/>
  <c r="H61" i="14"/>
  <c r="F62" i="14"/>
  <c r="G62" i="14"/>
  <c r="H62" i="14"/>
  <c r="F63" i="14"/>
  <c r="G63" i="14"/>
  <c r="H63" i="14"/>
  <c r="F64" i="14"/>
  <c r="G64" i="14"/>
  <c r="H64" i="14"/>
  <c r="F65" i="14"/>
  <c r="G65" i="14"/>
  <c r="H65" i="14"/>
  <c r="F66" i="14"/>
  <c r="G66" i="14"/>
  <c r="H66" i="14"/>
  <c r="F67" i="14"/>
  <c r="G67" i="14"/>
  <c r="H67" i="14"/>
  <c r="F68" i="14"/>
  <c r="G68" i="14"/>
  <c r="H68" i="14"/>
  <c r="F69" i="14"/>
  <c r="G69" i="14"/>
  <c r="H69" i="14"/>
  <c r="F70" i="14"/>
  <c r="G70" i="14"/>
  <c r="H70" i="14"/>
  <c r="F71" i="14"/>
  <c r="G71" i="14"/>
  <c r="H71" i="14"/>
  <c r="F72" i="14"/>
  <c r="G72" i="14"/>
  <c r="H72" i="14"/>
  <c r="F73" i="14"/>
  <c r="G73" i="14"/>
  <c r="H73" i="14"/>
  <c r="F74" i="14"/>
  <c r="G74" i="14"/>
  <c r="H74" i="14"/>
  <c r="F75" i="14"/>
  <c r="G75" i="14"/>
  <c r="H75" i="14"/>
  <c r="F76" i="14"/>
  <c r="G76" i="14"/>
  <c r="H76" i="14"/>
  <c r="F77" i="14"/>
  <c r="G77" i="14"/>
  <c r="H77" i="14"/>
  <c r="F78" i="14"/>
  <c r="G78" i="14"/>
  <c r="H78" i="14"/>
  <c r="F79" i="14"/>
  <c r="G79" i="14"/>
  <c r="H79" i="14"/>
  <c r="F80" i="14"/>
  <c r="G80" i="14"/>
  <c r="H80" i="14"/>
  <c r="F81" i="14"/>
  <c r="G81" i="14"/>
  <c r="H81" i="14"/>
  <c r="F82" i="14"/>
  <c r="G82" i="14"/>
  <c r="H82" i="14"/>
  <c r="F83" i="14"/>
  <c r="G83" i="14"/>
  <c r="H83" i="14"/>
  <c r="F84" i="14"/>
  <c r="G84" i="14"/>
  <c r="H84" i="14"/>
  <c r="F85" i="14"/>
  <c r="G85" i="14"/>
  <c r="H85" i="14"/>
  <c r="F86" i="14"/>
  <c r="G86" i="14"/>
  <c r="H86" i="14"/>
  <c r="F87" i="14"/>
  <c r="G87" i="14"/>
  <c r="H87" i="14"/>
  <c r="F88" i="14"/>
  <c r="G88" i="14"/>
  <c r="H88" i="14"/>
  <c r="F89" i="14"/>
  <c r="G89" i="14"/>
  <c r="H89" i="14"/>
  <c r="F90" i="14"/>
  <c r="G90" i="14"/>
  <c r="H90" i="14"/>
  <c r="F91" i="14"/>
  <c r="G91" i="14"/>
  <c r="H91" i="14"/>
  <c r="F92" i="14"/>
  <c r="G92" i="14"/>
  <c r="H92" i="14"/>
  <c r="F93" i="14"/>
  <c r="G93" i="14"/>
  <c r="H93" i="14"/>
  <c r="F94" i="14"/>
  <c r="G94" i="14"/>
  <c r="H94" i="14"/>
  <c r="F95" i="14"/>
  <c r="G95" i="14"/>
  <c r="H95" i="14"/>
  <c r="F96" i="14"/>
  <c r="G96" i="14"/>
  <c r="H96" i="14"/>
  <c r="F97" i="14"/>
  <c r="G97" i="14"/>
  <c r="H97" i="14"/>
  <c r="F98" i="14"/>
  <c r="G98" i="14"/>
  <c r="H98" i="14"/>
  <c r="F99" i="14"/>
  <c r="G99" i="14"/>
  <c r="H99" i="14"/>
  <c r="F100" i="14"/>
  <c r="G100" i="14"/>
  <c r="H100" i="14"/>
  <c r="F101" i="14"/>
  <c r="G101" i="14"/>
  <c r="H101" i="14"/>
  <c r="F102" i="14"/>
  <c r="G102" i="14"/>
  <c r="H102" i="14"/>
  <c r="F103" i="14"/>
  <c r="G103" i="14"/>
  <c r="H103" i="14"/>
  <c r="F104" i="14"/>
  <c r="G104" i="14"/>
  <c r="H104" i="14"/>
  <c r="F105" i="14"/>
  <c r="G105" i="14"/>
  <c r="H105" i="14"/>
  <c r="F106" i="14"/>
  <c r="G106" i="14"/>
  <c r="H106" i="14"/>
  <c r="F107" i="14"/>
  <c r="G107" i="14"/>
  <c r="H107" i="14"/>
  <c r="F108" i="14"/>
  <c r="G108" i="14"/>
  <c r="H108" i="14"/>
  <c r="F109" i="14"/>
  <c r="G109" i="14"/>
  <c r="H109" i="14"/>
  <c r="F110" i="14"/>
  <c r="G110" i="14"/>
  <c r="H110" i="14"/>
  <c r="G53" i="14"/>
  <c r="H53" i="14"/>
  <c r="F53" i="14"/>
  <c r="C3" i="13" a="1"/>
  <c r="C3" i="13" s="1"/>
  <c r="H6" i="11"/>
  <c r="H7" i="11"/>
  <c r="H8" i="11"/>
  <c r="H9" i="11"/>
  <c r="I4" i="11"/>
  <c r="J4" i="11"/>
  <c r="K4" i="11"/>
  <c r="L4" i="11"/>
  <c r="I6" i="11"/>
  <c r="J6" i="11"/>
  <c r="K6" i="11"/>
  <c r="L6" i="11"/>
  <c r="I7" i="11"/>
  <c r="J7" i="11"/>
  <c r="K7" i="11"/>
  <c r="L7" i="11"/>
  <c r="I8" i="11"/>
  <c r="J8" i="11"/>
  <c r="K8" i="11"/>
  <c r="L8" i="11"/>
  <c r="I9" i="11"/>
  <c r="J9" i="11"/>
  <c r="K9" i="11"/>
  <c r="L9" i="11"/>
  <c r="I5" i="11"/>
  <c r="J5" i="11"/>
  <c r="K5" i="11"/>
  <c r="L5" i="11"/>
  <c r="H5" i="11"/>
  <c r="K5" i="5"/>
  <c r="J5" i="5"/>
  <c r="I5" i="5"/>
  <c r="H5" i="5"/>
  <c r="G5" i="5"/>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s="1"/>
  <c r="O2401" i="1" a="1"/>
  <c r="O2401" i="1" s="1"/>
  <c r="N2401" i="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<sst xmlns="http://schemas.openxmlformats.org/spreadsheetml/2006/main" count="14784" uniqueCount="2527">
  <si>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</si>
  <si>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</si>
  <si>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</si>
  <si>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</si>
  <si>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</si>
  <si>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</si>
  <si>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</si>
  <si>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</si>
  <si>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</si>
  <si>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</si>
  <si>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</si>
  <si>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</si>
  <si>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</si>
  <si>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</si>
  <si>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</si>
  <si>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</si>
  <si>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</si>
  <si>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</si>
  <si>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</si>
  <si>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</si>
  <si>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</si>
  <si>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</si>
  <si>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</si>
  <si>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</si>
  <si>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</si>
  <si>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</si>
  <si>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</si>
  <si>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</si>
  <si>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</si>
  <si>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</si>
  <si>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</si>
  <si>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</si>
  <si>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</si>
  <si>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</si>
  <si>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</si>
  <si>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</si>
  <si>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</si>
  <si>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</si>
  <si>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</si>
  <si>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</si>
  <si>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</si>
  <si>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</si>
  <si>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</si>
  <si>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</si>
  <si>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</si>
  <si>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</si>
  <si>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</si>
  <si>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</si>
  <si>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</si>
  <si>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</si>
  <si>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</si>
  <si>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</si>
  <si>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</si>
  <si>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</si>
  <si>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</si>
  <si>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</si>
  <si>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</si>
  <si>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</si>
  <si>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</si>
  <si>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</si>
  <si>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</si>
  <si>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</si>
  <si>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</si>
  <si>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</si>
  <si>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</si>
  <si>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</si>
  <si>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</si>
  <si>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</si>
  <si>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</si>
  <si>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</si>
  <si>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</si>
  <si>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</si>
  <si>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</si>
  <si>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</si>
  <si>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</si>
  <si>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</si>
  <si>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</si>
  <si>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</si>
  <si>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</si>
  <si>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</si>
  <si>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</si>
  <si>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</si>
  <si>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</si>
  <si>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</si>
  <si>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</si>
  <si>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</si>
  <si>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</si>
  <si>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</si>
  <si>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</si>
  <si>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</si>
  <si>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</si>
  <si>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</si>
  <si>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</si>
  <si>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</si>
  <si>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</si>
  <si>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</si>
  <si>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</si>
  <si>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</si>
  <si>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</si>
  <si>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</si>
  <si>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</si>
  <si>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</si>
  <si>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</si>
  <si>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</si>
  <si>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</si>
  <si>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</si>
  <si>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</si>
  <si>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</si>
  <si>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</si>
  <si>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</si>
  <si>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</si>
  <si>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</si>
  <si>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</si>
  <si>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</si>
  <si>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</si>
  <si>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</si>
  <si>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</si>
  <si>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</si>
  <si>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</si>
  <si>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</si>
  <si>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</si>
  <si>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</si>
  <si>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</si>
  <si>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</si>
  <si>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</si>
  <si>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</si>
  <si>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</si>
  <si>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</si>
  <si>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</si>
  <si>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</si>
  <si>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</si>
  <si>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</si>
  <si>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</si>
  <si>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</si>
  <si>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</si>
  <si>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</si>
  <si>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</si>
  <si>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</si>
  <si>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</si>
  <si>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</si>
  <si>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</si>
  <si>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</si>
  <si>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</si>
  <si>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</si>
  <si>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</si>
  <si>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</si>
  <si>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</si>
  <si>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</si>
  <si>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</si>
  <si>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</si>
  <si>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</si>
  <si>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</si>
  <si>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</si>
  <si>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</si>
  <si>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</si>
  <si>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</si>
  <si>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</si>
  <si>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</si>
  <si>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</si>
  <si>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</si>
  <si>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</si>
  <si>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</si>
  <si>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</si>
  <si>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</si>
  <si>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</si>
  <si>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</si>
  <si>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</si>
  <si>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</si>
  <si>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</si>
  <si>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</si>
  <si>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</si>
  <si>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</si>
  <si>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</si>
  <si>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</si>
  <si>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</si>
  <si>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</si>
  <si>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</si>
  <si>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</si>
  <si>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</si>
  <si>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</si>
  <si>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</si>
  <si>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</si>
  <si>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</si>
  <si>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</si>
  <si>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</si>
  <si>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</si>
  <si>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</si>
  <si>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</si>
  <si>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</si>
  <si>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</si>
  <si>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</si>
  <si>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</si>
  <si>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</si>
  <si>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</si>
  <si>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</si>
  <si>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</si>
  <si>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</si>
  <si>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</si>
  <si>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</si>
  <si>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</si>
  <si>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</si>
  <si>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</si>
  <si>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</si>
  <si>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</si>
  <si>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</si>
  <si>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</si>
  <si>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</si>
  <si>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</si>
  <si>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</si>
  <si>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</si>
  <si>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</si>
  <si>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</si>
  <si>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</si>
  <si>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</si>
  <si>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</si>
  <si>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</si>
  <si>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</si>
  <si>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</si>
  <si>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</si>
  <si>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</si>
  <si>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</si>
  <si>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</si>
  <si>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</si>
  <si>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</si>
  <si>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</si>
  <si>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</si>
  <si>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</si>
  <si>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</si>
  <si>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</si>
  <si>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</si>
  <si>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</si>
  <si>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</si>
  <si>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</si>
  <si>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</si>
  <si>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</si>
  <si>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</si>
  <si>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</si>
  <si>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</si>
  <si>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</si>
  <si>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</si>
  <si>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</si>
  <si>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</si>
  <si>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</si>
  <si>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</si>
  <si>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</si>
  <si>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</si>
  <si>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</si>
  <si>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</si>
  <si>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</si>
  <si>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</si>
  <si>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</si>
  <si>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</si>
  <si>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</si>
  <si>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</si>
  <si>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</si>
  <si>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</si>
  <si>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</si>
  <si>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</si>
  <si>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</si>
  <si>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</si>
  <si>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</si>
  <si>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</si>
  <si>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</si>
  <si>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</si>
  <si>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</si>
  <si>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</si>
  <si>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</si>
  <si>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</si>
  <si>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</si>
  <si>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</si>
  <si>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</si>
  <si>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</si>
  <si>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</si>
  <si>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</si>
  <si>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</si>
  <si>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</si>
  <si>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</si>
  <si>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</si>
  <si>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</si>
  <si>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</si>
  <si>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</si>
  <si>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</si>
  <si>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</si>
  <si>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</si>
  <si>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</si>
  <si>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</si>
  <si>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</si>
  <si>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</si>
  <si>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</si>
  <si>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</si>
  <si>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</si>
  <si>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</si>
  <si>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</si>
  <si>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</si>
  <si>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</si>
  <si>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</si>
  <si>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</si>
  <si>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</si>
  <si>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</si>
  <si>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</si>
  <si>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</si>
  <si>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</si>
  <si>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</si>
  <si>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</si>
  <si>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</si>
  <si>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</si>
  <si>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</si>
  <si>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</si>
  <si>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</si>
  <si>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</si>
  <si>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</si>
  <si>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</si>
  <si>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</si>
  <si>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</si>
  <si>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</si>
  <si>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</si>
  <si>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</si>
  <si>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</si>
  <si>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</si>
  <si>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</si>
  <si>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</si>
  <si>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</si>
  <si>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</si>
  <si>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</si>
  <si>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</si>
  <si>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</si>
  <si>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</si>
  <si>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</si>
  <si>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</si>
  <si>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</si>
  <si>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</si>
  <si>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</si>
  <si>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</si>
  <si>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</si>
  <si>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</si>
  <si>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</si>
  <si>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</si>
  <si>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</si>
  <si>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</si>
  <si>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</si>
  <si>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</si>
  <si>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</si>
  <si>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</si>
  <si>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</si>
  <si>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</si>
  <si>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</si>
  <si>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</si>
  <si>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</si>
  <si>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</si>
  <si>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</si>
  <si>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</si>
  <si>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</si>
  <si>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</si>
  <si>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</si>
  <si>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</si>
  <si>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</si>
  <si>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</si>
  <si>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</si>
  <si>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</si>
  <si>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</si>
  <si>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</si>
  <si>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</si>
  <si>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</si>
  <si>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</si>
  <si>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</si>
  <si>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</si>
  <si>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</si>
  <si>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</si>
  <si>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</si>
  <si>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</si>
  <si>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</si>
  <si>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</si>
  <si>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</si>
  <si>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</si>
  <si>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</si>
  <si>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</si>
  <si>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</si>
  <si>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</si>
  <si>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</si>
  <si>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</si>
  <si>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</si>
  <si>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</si>
  <si>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</si>
  <si>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</si>
  <si>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</si>
  <si>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</si>
  <si>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</si>
  <si>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</si>
  <si>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</si>
  <si>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</si>
  <si>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</si>
  <si>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</si>
  <si>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</si>
  <si>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</si>
  <si>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</si>
  <si>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</si>
  <si>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</si>
  <si>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</si>
  <si>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</si>
  <si>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</si>
  <si>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</si>
  <si>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</si>
  <si>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</si>
  <si>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</si>
  <si>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</si>
  <si>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</si>
  <si>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</si>
  <si>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</si>
  <si>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</si>
  <si>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</si>
  <si>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</si>
  <si>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</si>
  <si>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</si>
  <si>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</si>
  <si>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</si>
  <si>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</si>
  <si>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</si>
  <si>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</si>
  <si>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</si>
  <si>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</si>
  <si>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</si>
  <si>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</si>
  <si>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</si>
  <si>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</si>
  <si>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</si>
  <si>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</si>
  <si>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</si>
  <si>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</si>
  <si>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</si>
  <si>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</si>
  <si>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</si>
  <si>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</si>
  <si>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</si>
  <si>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</si>
  <si>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</si>
  <si>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</si>
  <si>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</si>
  <si>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</si>
  <si>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</si>
  <si>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</si>
  <si>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</si>
  <si>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</si>
  <si>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</si>
  <si>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</si>
  <si>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</si>
  <si>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</si>
  <si>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</si>
  <si>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</si>
  <si>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</si>
  <si>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</si>
  <si>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</si>
  <si>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</si>
  <si>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</si>
  <si>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</si>
  <si>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</si>
  <si>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</si>
  <si>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</si>
  <si>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</si>
  <si>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</si>
  <si>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</si>
  <si>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</si>
  <si>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</si>
  <si>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</si>
  <si>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</si>
  <si>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</si>
  <si>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</si>
  <si>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</si>
  <si>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</si>
  <si>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</si>
  <si>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</si>
  <si>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</si>
  <si>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</si>
  <si>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</si>
  <si>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</si>
  <si>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</si>
  <si>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</si>
  <si>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</si>
  <si>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</si>
  <si>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</si>
  <si>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</si>
  <si>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</si>
  <si>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</si>
  <si>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</si>
  <si>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</si>
  <si>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</si>
  <si>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</si>
  <si>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</si>
  <si>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</si>
  <si>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</si>
  <si>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</si>
  <si>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</si>
  <si>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</si>
  <si>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</si>
  <si>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</si>
  <si>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</si>
  <si>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</si>
  <si>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</si>
  <si>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</si>
  <si>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</si>
  <si>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</si>
  <si>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</si>
  <si>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</si>
  <si>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</si>
  <si>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</si>
  <si>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</si>
  <si>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</si>
  <si>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</si>
  <si>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</si>
  <si>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</si>
  <si>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</si>
  <si>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</si>
  <si>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</si>
  <si>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</si>
  <si>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</si>
  <si>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</si>
  <si>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</si>
  <si>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</si>
  <si>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</si>
  <si>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</si>
  <si>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</si>
  <si>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</si>
  <si>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</si>
  <si>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</si>
  <si>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</si>
  <si>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</si>
  <si>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</si>
  <si>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</si>
  <si>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</si>
  <si>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</si>
  <si>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</si>
  <si>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</si>
  <si>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</si>
  <si>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</si>
  <si>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</si>
  <si>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</si>
  <si>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</si>
  <si>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</si>
  <si>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</si>
  <si>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</si>
  <si>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</si>
  <si>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</si>
  <si>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</si>
  <si>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</si>
  <si>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</si>
  <si>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</si>
  <si>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</si>
  <si>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</si>
  <si>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</si>
  <si>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</si>
  <si>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</si>
  <si>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</si>
  <si>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</si>
  <si>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</si>
  <si>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</si>
  <si>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</si>
  <si>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</si>
  <si>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</si>
  <si>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</si>
  <si>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</si>
  <si>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</si>
  <si>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</si>
  <si>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</si>
  <si>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</si>
  <si>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</si>
  <si>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</si>
  <si>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</si>
  <si>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</si>
  <si>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</si>
  <si>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</si>
  <si>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</si>
  <si>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</si>
  <si>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</si>
  <si>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</si>
  <si>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</si>
  <si>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</si>
  <si>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</si>
  <si>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</si>
  <si>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</si>
  <si>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</si>
  <si>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</si>
  <si>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</si>
  <si>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</si>
  <si>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</si>
  <si>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</si>
  <si>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</si>
  <si>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</si>
  <si>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</si>
  <si>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</si>
  <si>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</si>
  <si>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</si>
  <si>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</si>
  <si>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</si>
  <si>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</si>
  <si>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</si>
  <si>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</si>
  <si>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</si>
  <si>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</si>
  <si>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</si>
  <si>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</si>
  <si>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</si>
  <si>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</si>
  <si>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</si>
  <si>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</si>
  <si>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</si>
  <si>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</si>
  <si>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</si>
  <si>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</si>
  <si>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</si>
  <si>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</si>
  <si>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</si>
  <si>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</si>
  <si>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</si>
  <si>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</si>
  <si>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</si>
  <si>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</si>
  <si>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</si>
  <si>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</si>
  <si>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</si>
  <si>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</si>
  <si>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</si>
  <si>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</si>
  <si>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</si>
  <si>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</si>
  <si>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</si>
  <si>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</si>
  <si>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</si>
  <si>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</si>
  <si>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</si>
  <si>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</si>
  <si>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</si>
  <si>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</si>
  <si>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</si>
  <si>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</si>
  <si>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</si>
  <si>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</si>
  <si>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</si>
  <si>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</si>
  <si>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</si>
  <si>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</si>
  <si>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</si>
  <si>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</si>
  <si>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</si>
  <si>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</si>
  <si>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</si>
  <si>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</si>
  <si>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</si>
  <si>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</si>
  <si>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</si>
  <si>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</si>
  <si>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</si>
  <si>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</si>
  <si>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</si>
  <si>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</si>
  <si>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</si>
  <si>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</si>
  <si>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</si>
  <si>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</si>
  <si>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</si>
  <si>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</si>
  <si>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</si>
  <si>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</si>
  <si>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</si>
  <si>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</si>
  <si>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</si>
  <si>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</si>
  <si>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</si>
  <si>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</si>
  <si>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</si>
  <si>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</si>
  <si>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</si>
  <si>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</si>
  <si>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</si>
  <si>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</si>
  <si>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</si>
  <si>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</si>
  <si>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</si>
  <si>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</si>
  <si>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</si>
  <si>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</si>
  <si>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</si>
  <si>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</si>
  <si>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</si>
  <si>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</si>
  <si>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</si>
  <si>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</si>
  <si>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</si>
  <si>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</si>
  <si>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</si>
  <si>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</si>
  <si>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</si>
  <si>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</si>
  <si>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</si>
  <si>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</si>
  <si>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</si>
  <si>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</si>
  <si>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</si>
  <si>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</si>
  <si>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</si>
  <si>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</si>
  <si>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</si>
  <si>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</si>
  <si>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</si>
  <si>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</si>
  <si>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</si>
  <si>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</si>
  <si>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</si>
  <si>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</si>
  <si>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</si>
  <si>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</si>
  <si>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</si>
  <si>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</si>
  <si>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</si>
  <si>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</si>
  <si>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</si>
  <si>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</si>
  <si>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</si>
  <si>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</si>
  <si>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</si>
  <si>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</si>
  <si>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</si>
  <si>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</si>
  <si>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</si>
  <si>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</si>
  <si>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</si>
  <si>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</si>
  <si>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</si>
  <si>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</si>
  <si>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</si>
  <si>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</si>
  <si>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</si>
  <si>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</si>
  <si>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</si>
  <si>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</si>
  <si>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</si>
  <si>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</si>
  <si>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</si>
  <si>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</si>
  <si>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</si>
  <si>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</si>
  <si>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</si>
  <si>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</si>
  <si>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</si>
  <si>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</si>
  <si>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</si>
  <si>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</si>
  <si>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</si>
  <si>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</si>
  <si>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</si>
  <si>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</si>
  <si>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</si>
  <si>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</si>
  <si>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</si>
  <si>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</si>
  <si>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</si>
  <si>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</si>
  <si>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</si>
  <si>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</si>
  <si>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</si>
  <si>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</si>
  <si>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</si>
  <si>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</si>
  <si>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</si>
  <si>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</si>
  <si>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</si>
  <si>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</si>
  <si>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</si>
  <si>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</si>
  <si>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</si>
  <si>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</si>
  <si>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</si>
  <si>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</si>
  <si>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</si>
  <si>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</si>
  <si>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</si>
  <si>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</si>
  <si>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</si>
  <si>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</si>
  <si>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</si>
  <si>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</si>
  <si>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</si>
  <si>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</si>
  <si>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</si>
  <si>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</si>
  <si>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</si>
  <si>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</si>
  <si>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</si>
  <si>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</si>
  <si>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</si>
  <si>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</si>
  <si>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</si>
  <si>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</si>
  <si>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</si>
  <si>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</si>
  <si>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</si>
  <si>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</si>
  <si>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</si>
  <si>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</si>
  <si>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</si>
  <si>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</si>
  <si>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</si>
  <si>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</si>
  <si>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</si>
  <si>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</si>
  <si>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</si>
  <si>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</si>
  <si>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</si>
  <si>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</si>
  <si>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</si>
  <si>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</si>
  <si>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</si>
  <si>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</si>
  <si>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</si>
  <si>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</si>
  <si>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</si>
  <si>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</si>
  <si>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</si>
  <si>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</si>
  <si>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</si>
  <si>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</si>
  <si>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</si>
  <si>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</si>
  <si>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</si>
  <si>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</si>
  <si>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</si>
  <si>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</si>
  <si>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</si>
  <si>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</si>
  <si>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</si>
  <si>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</si>
  <si>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</si>
  <si>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</si>
  <si>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</si>
  <si>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</si>
  <si>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</si>
  <si>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</si>
  <si>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</si>
  <si>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</si>
  <si>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</si>
  <si>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</si>
  <si>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</si>
  <si>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</si>
  <si>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</si>
  <si>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</si>
  <si>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</si>
  <si>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</si>
  <si>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</si>
  <si>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</si>
  <si>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</si>
  <si>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</si>
  <si>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</si>
  <si>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</si>
  <si>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</si>
  <si>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</si>
  <si>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</si>
  <si>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</si>
  <si>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</si>
  <si>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</si>
  <si>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</si>
  <si>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</si>
  <si>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</si>
  <si>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</si>
  <si>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</si>
  <si>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</si>
  <si>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</si>
  <si>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</si>
  <si>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</si>
  <si>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</si>
  <si>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</si>
  <si>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</si>
  <si>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</si>
  <si>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</si>
  <si>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</si>
  <si>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</si>
  <si>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</si>
  <si>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</si>
  <si>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</si>
  <si>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</si>
  <si>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</si>
  <si>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</si>
  <si>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</si>
  <si>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</si>
  <si>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</si>
  <si>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</si>
  <si>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</si>
  <si>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</si>
  <si>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</si>
  <si>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</si>
  <si>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</si>
  <si>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</si>
  <si>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</si>
  <si>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</si>
  <si>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</si>
  <si>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</si>
  <si>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</si>
  <si>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</si>
  <si>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</si>
  <si>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</si>
  <si>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</si>
  <si>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</si>
  <si>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</si>
  <si>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</si>
  <si>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</si>
  <si>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</si>
  <si>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</si>
  <si>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</si>
  <si>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</si>
  <si>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</si>
  <si>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</si>
  <si>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</si>
  <si>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</si>
  <si>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</si>
  <si>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</si>
  <si>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</si>
  <si>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</si>
  <si>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</si>
  <si>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</si>
  <si>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</si>
  <si>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</si>
  <si>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</si>
  <si>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</si>
  <si>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</si>
  <si>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</si>
  <si>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</si>
  <si>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</si>
  <si>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</si>
  <si>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</si>
  <si>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</si>
  <si>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</si>
  <si>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</si>
  <si>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</si>
  <si>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</si>
  <si>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</si>
  <si>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</si>
  <si>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</si>
  <si>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</si>
  <si>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</si>
  <si>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</si>
  <si>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</si>
  <si>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</si>
  <si>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</si>
  <si>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</si>
  <si>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</si>
  <si>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</si>
  <si>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</si>
  <si>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</si>
  <si>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</si>
  <si>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</si>
  <si>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</si>
  <si>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</si>
  <si>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</si>
  <si>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</si>
  <si>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</si>
  <si>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</si>
  <si>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</si>
  <si>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</si>
  <si>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</si>
  <si>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</si>
  <si>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</si>
  <si>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</si>
  <si>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</si>
  <si>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</si>
  <si>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</si>
  <si>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</si>
  <si>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</si>
  <si>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</si>
  <si>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</si>
  <si>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</si>
  <si>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</si>
  <si>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</si>
  <si>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</si>
  <si>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</si>
  <si>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</si>
  <si>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</si>
  <si>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</si>
  <si>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</si>
  <si>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</si>
  <si>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</si>
  <si>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</si>
  <si>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</si>
  <si>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</si>
  <si>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</si>
  <si>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</si>
  <si>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</si>
  <si>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</si>
  <si>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</si>
  <si>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</si>
  <si>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</si>
  <si>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</si>
  <si>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</si>
  <si>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</si>
  <si>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</si>
  <si>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</si>
  <si>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</si>
  <si>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</si>
  <si>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</si>
  <si>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</si>
  <si>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</si>
  <si>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</si>
  <si>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</si>
  <si>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</si>
  <si>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</si>
  <si>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</si>
  <si>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</si>
  <si>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</si>
  <si>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</si>
  <si>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</si>
  <si>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</si>
  <si>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</si>
  <si>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</si>
  <si>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</si>
  <si>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</si>
  <si>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</si>
  <si>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</si>
  <si>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</si>
  <si>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</si>
  <si>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</si>
  <si>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</si>
  <si>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</si>
  <si>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</si>
  <si>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</si>
  <si>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</si>
  <si>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</si>
  <si>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</si>
  <si>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</si>
  <si>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</si>
  <si>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</si>
  <si>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</si>
  <si>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</si>
  <si>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</si>
  <si>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</si>
  <si>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</si>
  <si>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</si>
  <si>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</si>
  <si>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</si>
  <si>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</si>
  <si>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</si>
  <si>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</si>
  <si>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</si>
  <si>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</si>
  <si>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</si>
  <si>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</si>
  <si>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</si>
  <si>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</si>
  <si>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</si>
  <si>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</si>
  <si>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</si>
  <si>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</si>
  <si>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</si>
  <si>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</si>
  <si>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</si>
  <si>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</si>
  <si>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</si>
  <si>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</si>
  <si>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</si>
  <si>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</si>
  <si>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</si>
  <si>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</si>
  <si>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</si>
  <si>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</si>
  <si>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</si>
  <si>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</si>
  <si>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</si>
  <si>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</si>
  <si>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</si>
  <si>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</si>
  <si>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</si>
  <si>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</si>
  <si>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</si>
  <si>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</si>
  <si>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</si>
  <si>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</si>
  <si>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</si>
  <si>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</si>
  <si>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</si>
  <si>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</si>
  <si>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</si>
  <si>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</si>
  <si>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</si>
  <si>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</si>
  <si>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</si>
  <si>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</si>
  <si>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</si>
  <si>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</si>
  <si>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</si>
  <si>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</si>
  <si>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</si>
  <si>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</si>
  <si>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</si>
  <si>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</si>
  <si>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</si>
  <si>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</si>
  <si>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</si>
  <si>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</si>
  <si>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</si>
  <si>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</si>
  <si>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</si>
  <si>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</si>
  <si>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</si>
  <si>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</si>
  <si>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</si>
  <si>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</si>
  <si>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</si>
  <si>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</si>
  <si>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</si>
  <si>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</si>
  <si>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</si>
  <si>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</si>
  <si>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</si>
  <si>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</si>
  <si>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</si>
  <si>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</si>
  <si>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</si>
  <si>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</si>
  <si>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</si>
  <si>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</si>
  <si>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</si>
  <si>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</si>
  <si>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</si>
  <si>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</si>
  <si>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</si>
  <si>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</si>
  <si>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</si>
  <si>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</si>
  <si>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</si>
  <si>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</si>
  <si>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</si>
  <si>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</si>
  <si>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</si>
  <si>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</si>
  <si>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</si>
  <si>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</si>
  <si>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</si>
  <si>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</si>
  <si>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</si>
  <si>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</si>
  <si>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</si>
  <si>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</si>
  <si>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</si>
  <si>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</si>
  <si>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</si>
  <si>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</si>
  <si>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</si>
  <si>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</si>
  <si>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</si>
  <si>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</si>
  <si>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</si>
  <si>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</si>
  <si>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</si>
  <si>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</si>
  <si>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</si>
  <si>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</si>
  <si>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</si>
  <si>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</si>
  <si>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</si>
  <si>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</si>
  <si>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</si>
  <si>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</si>
  <si>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</si>
  <si>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</si>
  <si>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</si>
  <si>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</si>
  <si>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</si>
  <si>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</si>
  <si>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</si>
  <si>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</si>
  <si>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</si>
  <si>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</si>
  <si>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</si>
  <si>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</si>
  <si>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</si>
  <si>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</si>
  <si>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</si>
  <si>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</si>
  <si>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</si>
  <si>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</si>
  <si>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</si>
  <si>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</si>
  <si>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</si>
  <si>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</si>
  <si>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</si>
  <si>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</si>
  <si>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</si>
  <si>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</si>
  <si>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</si>
  <si>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</si>
  <si>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</si>
  <si>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</si>
  <si>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</si>
  <si>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</si>
  <si>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</si>
  <si>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</si>
  <si>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</si>
  <si>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</si>
  <si>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</si>
  <si>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</si>
  <si>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</si>
  <si>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</si>
  <si>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</si>
  <si>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</si>
  <si>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</si>
  <si>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</si>
  <si>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</si>
  <si>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</si>
  <si>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</si>
  <si>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</si>
  <si>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</si>
  <si>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</si>
  <si>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</si>
  <si>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</si>
  <si>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</si>
  <si>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</si>
  <si>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</si>
  <si>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</si>
  <si>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</si>
  <si>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</si>
  <si>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</si>
  <si>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</si>
  <si>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</si>
  <si>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</si>
  <si>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</si>
  <si>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</si>
  <si>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</si>
  <si>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</si>
  <si>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</si>
  <si>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</si>
  <si>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</si>
  <si>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</si>
  <si>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</si>
  <si>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</si>
  <si>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</si>
  <si>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</si>
  <si>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</si>
  <si>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</si>
  <si>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</si>
  <si>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</si>
  <si>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</si>
  <si>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</si>
  <si>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</si>
  <si>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</si>
  <si>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</si>
  <si>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</si>
  <si>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</si>
  <si>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</si>
  <si>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</si>
  <si>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</si>
  <si>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</si>
  <si>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</si>
  <si>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</si>
  <si>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</si>
  <si>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</si>
  <si>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</si>
  <si>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</si>
  <si>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</si>
  <si>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</si>
  <si>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</si>
  <si>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</si>
  <si>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</si>
  <si>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</si>
  <si>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</si>
  <si>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</si>
  <si>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</si>
  <si>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</si>
  <si>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</si>
  <si>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</si>
  <si>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</si>
  <si>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</si>
  <si>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</si>
  <si>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</si>
  <si>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</si>
  <si>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</si>
  <si>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</si>
  <si>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</si>
  <si>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</si>
  <si>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</si>
  <si>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</si>
  <si>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</si>
  <si>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</si>
  <si>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</si>
  <si>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</si>
  <si>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</si>
  <si>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</si>
  <si>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</si>
  <si>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</si>
  <si>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</si>
  <si>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</si>
  <si>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</si>
  <si>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</si>
  <si>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</si>
  <si>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</si>
  <si>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</si>
  <si>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</si>
  <si>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</si>
  <si>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</si>
  <si>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</si>
  <si>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</si>
  <si>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</si>
  <si>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</si>
  <si>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</si>
  <si>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</si>
  <si>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</si>
  <si>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</si>
  <si>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</si>
  <si>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</si>
  <si>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</si>
  <si>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</si>
  <si>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</si>
  <si>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</si>
  <si>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</si>
  <si>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</si>
  <si>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</si>
  <si>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</si>
  <si>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</si>
  <si>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</si>
  <si>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</si>
  <si>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</si>
  <si>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</si>
  <si>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</si>
  <si>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</si>
  <si>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</si>
  <si>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</si>
  <si>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</si>
  <si>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</si>
  <si>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</si>
  <si>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</si>
  <si>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</si>
  <si>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</si>
  <si>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</si>
  <si>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</si>
  <si>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</si>
  <si>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</si>
  <si>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</si>
  <si>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</si>
  <si>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</si>
  <si>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</si>
  <si>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</si>
  <si>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</si>
  <si>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</si>
  <si>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</si>
  <si>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</si>
  <si>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</si>
  <si>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</si>
  <si>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</si>
  <si>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</si>
  <si>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</si>
  <si>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</si>
  <si>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</si>
  <si>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</si>
  <si>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</si>
  <si>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</si>
  <si>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</si>
  <si>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</si>
  <si>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</si>
  <si>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</si>
  <si>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</si>
  <si>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</si>
  <si>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</si>
  <si>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</si>
  <si>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</si>
  <si>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</si>
  <si>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</si>
  <si>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</si>
  <si>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</si>
  <si>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</si>
  <si>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</si>
  <si>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</si>
  <si>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</si>
  <si>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</si>
  <si>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</si>
  <si>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</si>
  <si>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</si>
  <si>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</si>
  <si>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</si>
  <si>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</si>
  <si>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</si>
  <si>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</si>
  <si>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</si>
  <si>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</si>
  <si>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</si>
  <si>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</si>
  <si>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</si>
  <si>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</si>
  <si>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</si>
  <si>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</si>
  <si>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</si>
  <si>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</si>
  <si>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</si>
  <si>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</si>
  <si>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</si>
  <si>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</si>
  <si>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</si>
  <si>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</si>
  <si>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</si>
  <si>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</si>
  <si>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</si>
  <si>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</si>
  <si>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</si>
  <si>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</si>
  <si>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</si>
  <si>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</si>
  <si>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</si>
  <si>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</si>
  <si>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</si>
  <si>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</si>
  <si>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</si>
  <si>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</si>
  <si>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</si>
  <si>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</si>
  <si>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</si>
  <si>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</si>
  <si>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</si>
  <si>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</si>
  <si>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</si>
  <si>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</si>
  <si>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</si>
  <si>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</si>
  <si>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</si>
  <si>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</si>
  <si>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</si>
  <si>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</si>
  <si>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</si>
  <si>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</si>
  <si>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</si>
  <si>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</si>
  <si>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</si>
  <si>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</si>
  <si>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</si>
  <si>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</si>
  <si>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</si>
  <si>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</si>
  <si>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</si>
  <si>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</si>
  <si>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</si>
  <si>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</si>
  <si>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</si>
  <si>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</si>
  <si>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</si>
  <si>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</si>
  <si>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</si>
  <si>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</si>
  <si>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</si>
  <si>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</si>
  <si>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</si>
  <si>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</si>
  <si>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</si>
  <si>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</si>
  <si>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</si>
  <si>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</si>
  <si>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</si>
  <si>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</si>
  <si>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</si>
  <si>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</si>
  <si>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</si>
  <si>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</si>
  <si>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</si>
  <si>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</si>
  <si>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</si>
  <si>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</si>
  <si>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</si>
  <si>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</si>
  <si>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</si>
  <si>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</si>
  <si>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</si>
  <si>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</si>
  <si>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</si>
  <si>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</si>
  <si>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</si>
  <si>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</si>
  <si>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</si>
  <si>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</si>
  <si>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</si>
  <si>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</si>
  <si>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</si>
  <si>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</si>
  <si>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</si>
  <si>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</si>
  <si>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</si>
  <si>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</si>
  <si>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</si>
  <si>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</si>
  <si>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</si>
  <si>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</si>
  <si>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</si>
  <si>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</si>
  <si>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</si>
  <si>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</si>
  <si>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</si>
  <si>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</si>
  <si>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</si>
  <si>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</si>
  <si>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</si>
  <si>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</si>
  <si>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</si>
  <si>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</si>
  <si>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</si>
  <si>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</si>
  <si>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</si>
  <si>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</si>
  <si>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</si>
  <si>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</si>
  <si>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</si>
  <si>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</si>
  <si>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</si>
  <si>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</si>
  <si>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</si>
  <si>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</si>
  <si>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</si>
  <si>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</si>
  <si>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</si>
  <si>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</si>
  <si>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</si>
  <si>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</si>
  <si>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</si>
  <si>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</si>
  <si>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</si>
  <si>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</si>
  <si>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</si>
  <si>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</si>
  <si>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</si>
  <si>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</si>
  <si>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</si>
  <si>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</si>
  <si>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</si>
  <si>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</si>
  <si>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</si>
  <si>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</si>
  <si>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</si>
  <si>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</si>
  <si>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</si>
  <si>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</si>
  <si>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</si>
  <si>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</si>
  <si>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</si>
  <si>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</si>
  <si>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</si>
  <si>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</si>
  <si>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</si>
  <si>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</si>
  <si>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</si>
  <si>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</si>
  <si>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</si>
  <si>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</si>
  <si>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</si>
  <si>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</si>
  <si>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</si>
  <si>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</si>
  <si>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</si>
  <si>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</si>
  <si>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</si>
  <si>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</si>
  <si>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</si>
  <si>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</si>
  <si>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</si>
  <si>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</si>
  <si>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</si>
  <si>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</si>
  <si>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</si>
  <si>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</si>
  <si>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</si>
  <si>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</si>
  <si>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</si>
  <si>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</si>
  <si>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</si>
  <si>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</si>
  <si>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</si>
  <si>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</si>
  <si>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</si>
  <si>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</si>
  <si>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</si>
  <si>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</si>
  <si>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</si>
  <si>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</si>
  <si>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</si>
  <si>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</si>
  <si>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</si>
  <si>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</si>
  <si>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</si>
  <si>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</si>
  <si>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</si>
  <si>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</si>
  <si>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</si>
  <si>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</si>
  <si>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</si>
  <si>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</si>
  <si>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</si>
  <si>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</si>
  <si>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</si>
  <si>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</si>
  <si>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</si>
  <si>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</si>
  <si>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</si>
  <si>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</si>
  <si>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</si>
  <si>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</si>
  <si>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</si>
  <si>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</si>
  <si>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</si>
  <si>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</si>
  <si>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</si>
  <si>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</si>
  <si>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</si>
  <si>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</si>
  <si>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</si>
  <si>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</si>
  <si>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</si>
  <si>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</si>
  <si>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</si>
  <si>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</si>
  <si>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</si>
  <si>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</si>
  <si>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</si>
  <si>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</si>
  <si>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</si>
  <si>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</si>
  <si>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</si>
  <si>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</si>
  <si>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</si>
  <si>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</si>
  <si>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</si>
  <si>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</si>
  <si>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</si>
  <si>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</si>
  <si>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</si>
  <si>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</si>
  <si>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</si>
  <si>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</si>
  <si>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</si>
  <si>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</si>
  <si>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</si>
  <si>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</si>
  <si>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</si>
  <si>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</si>
  <si>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</si>
  <si>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</si>
  <si>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</si>
  <si>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</si>
  <si>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</si>
  <si>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</si>
  <si>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</si>
  <si>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</si>
  <si>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</si>
  <si>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</si>
  <si>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</si>
  <si>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</si>
  <si>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</si>
  <si>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</si>
  <si>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</si>
  <si>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</si>
  <si>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</si>
  <si>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</si>
  <si>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</si>
  <si>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</si>
  <si>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</si>
  <si>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</si>
  <si>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</si>
  <si>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</si>
  <si>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</si>
  <si>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</si>
  <si>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</si>
  <si>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</si>
  <si>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</si>
  <si>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</si>
  <si>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</si>
  <si>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</si>
  <si>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</si>
  <si>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</si>
  <si>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</si>
  <si>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</si>
  <si>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</si>
  <si>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</si>
  <si>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</si>
  <si>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</si>
  <si>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</si>
  <si>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</si>
  <si>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</si>
  <si>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</si>
  <si>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</si>
  <si>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</si>
  <si>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</si>
  <si>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</si>
  <si>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</si>
  <si>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</si>
  <si>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</si>
  <si>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</si>
  <si>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</si>
  <si>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</si>
  <si>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</si>
  <si>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</si>
  <si>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</si>
  <si>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</si>
  <si>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</si>
  <si>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</si>
  <si>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</si>
  <si>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</si>
  <si>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</si>
  <si>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</si>
  <si>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</si>
  <si>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</si>
  <si>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</si>
  <si>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</si>
  <si>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</si>
  <si>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</si>
  <si>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</si>
  <si>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</si>
  <si>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</si>
  <si>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</si>
  <si>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</si>
  <si>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</si>
  <si>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</si>
  <si>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</si>
  <si>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</si>
  <si>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</si>
  <si>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</si>
  <si>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</si>
  <si>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</si>
  <si>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</si>
  <si>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</si>
  <si>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</si>
  <si>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</si>
  <si>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</si>
  <si>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</si>
  <si>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</si>
  <si>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</si>
  <si>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</si>
  <si>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</si>
  <si>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</si>
  <si>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</si>
  <si>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</si>
  <si>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</si>
  <si>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</si>
  <si>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</si>
  <si>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</si>
  <si>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</si>
  <si>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</si>
  <si>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</si>
  <si>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</si>
  <si>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</si>
  <si>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</si>
  <si>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</si>
  <si>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</si>
  <si>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</si>
  <si>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</si>
  <si>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</si>
  <si>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</si>
  <si>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</si>
  <si>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</si>
  <si>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</si>
  <si>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</si>
  <si>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</si>
  <si>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</si>
  <si>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</si>
  <si>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</si>
  <si>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</si>
  <si>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</si>
  <si>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</si>
  <si>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</si>
  <si>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</si>
  <si>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</si>
  <si>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</si>
  <si>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</si>
  <si>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</si>
  <si>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</si>
  <si>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</si>
  <si>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</si>
  <si>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</si>
  <si>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</si>
  <si>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</si>
  <si>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</si>
  <si>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</si>
  <si>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</si>
  <si>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</si>
  <si>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</si>
  <si>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</si>
  <si>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</si>
  <si>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</si>
  <si>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</si>
  <si>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</si>
  <si>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</si>
  <si>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</si>
  <si>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</si>
  <si>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</si>
  <si>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</si>
  <si>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</si>
  <si>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</si>
  <si>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</si>
  <si>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</si>
  <si>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</si>
  <si>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</si>
  <si>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</si>
  <si>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</si>
  <si>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</si>
  <si>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</si>
  <si>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</si>
  <si>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</si>
  <si>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</si>
  <si>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</si>
  <si>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</si>
  <si>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</si>
  <si>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</si>
  <si>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</si>
  <si>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</si>
  <si>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</si>
  <si>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</si>
  <si>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</si>
  <si>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</si>
  <si>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</si>
  <si>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</si>
  <si>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</si>
  <si>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</si>
  <si>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</si>
  <si>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</si>
  <si>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</si>
  <si>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</si>
  <si>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</si>
  <si>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</si>
  <si>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</si>
  <si>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</si>
  <si>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</si>
  <si>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</si>
  <si>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</si>
  <si>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</si>
  <si>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</si>
  <si>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</si>
  <si>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</si>
  <si>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</si>
  <si>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</si>
  <si>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</si>
  <si>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</si>
  <si>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</si>
  <si>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</si>
  <si>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</si>
  <si>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</si>
  <si>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</si>
  <si>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</si>
  <si>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</si>
  <si>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</si>
  <si>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</si>
  <si>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</si>
  <si>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</si>
  <si>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</si>
  <si>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</si>
  <si>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</si>
  <si>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</si>
  <si>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</si>
  <si>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</si>
  <si>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</si>
  <si>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</si>
  <si>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</si>
  <si>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</si>
  <si>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</si>
  <si>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</si>
  <si>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</si>
  <si>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</si>
  <si>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</si>
  <si>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</si>
  <si>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</si>
  <si>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</si>
  <si>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</si>
  <si>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</si>
  <si>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</si>
  <si>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</si>
  <si>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</si>
  <si>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</si>
  <si>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</si>
  <si>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</si>
  <si>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</si>
  <si>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</si>
  <si>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</si>
  <si>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</si>
  <si>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</si>
  <si>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</si>
  <si>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</si>
  <si>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</si>
  <si>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</si>
  <si>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</si>
  <si>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</si>
  <si>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</si>
  <si>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</si>
  <si>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</si>
  <si>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</si>
  <si>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</si>
  <si>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</si>
  <si>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</si>
  <si>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</si>
  <si>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</si>
  <si>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</si>
  <si>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</si>
  <si>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</si>
  <si>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</si>
  <si>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</si>
  <si>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</si>
  <si>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</si>
  <si>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</si>
  <si>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</si>
  <si>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</si>
  <si>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</si>
  <si>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</si>
  <si>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</si>
  <si>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</si>
  <si>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</si>
  <si>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</si>
  <si>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</si>
  <si>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</si>
  <si>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</si>
  <si>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</si>
  <si>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</si>
  <si>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</si>
  <si>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</si>
  <si>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</si>
  <si>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</si>
  <si>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</si>
  <si>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</si>
  <si>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</si>
  <si>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</si>
  <si>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</si>
  <si>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</si>
  <si>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</si>
  <si>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</si>
  <si>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</si>
  <si>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</si>
  <si>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</si>
  <si>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</si>
  <si>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</si>
  <si>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</si>
  <si>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</si>
  <si>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</si>
  <si>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</si>
  <si>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</si>
  <si>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</si>
  <si>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</si>
  <si>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</si>
  <si>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</si>
  <si>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</si>
  <si>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</si>
  <si>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</si>
  <si>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</si>
  <si>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</si>
  <si>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</si>
  <si>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</si>
  <si>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</si>
  <si>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</si>
  <si>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</si>
  <si>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</si>
  <si>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</si>
  <si>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</si>
  <si>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</si>
  <si>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</si>
  <si>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</si>
  <si>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</si>
  <si>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</si>
  <si>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</si>
  <si>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</si>
  <si>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</si>
  <si>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</si>
  <si>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</si>
  <si>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</si>
  <si>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</si>
  <si>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</si>
  <si>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</si>
  <si>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</si>
  <si>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</si>
  <si>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</si>
  <si>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</si>
  <si>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</si>
  <si>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</si>
  <si>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</si>
  <si>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</si>
  <si>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</si>
  <si>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</si>
  <si>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</si>
  <si>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</si>
  <si>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</si>
  <si>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</si>
  <si>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</si>
  <si>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</si>
  <si>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</si>
  <si>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</si>
  <si>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</si>
  <si>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</si>
  <si>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</si>
  <si>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</si>
  <si>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</si>
  <si>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</si>
  <si>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</si>
  <si>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</si>
  <si>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</si>
  <si>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</si>
  <si>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</si>
  <si>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</si>
  <si>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</si>
  <si>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</si>
  <si>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</si>
  <si>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</si>
  <si>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</si>
  <si>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</si>
  <si>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</si>
  <si>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</si>
  <si>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</si>
  <si>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</si>
  <si>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</si>
  <si>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</si>
  <si>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</si>
  <si>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</si>
  <si>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</si>
  <si>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</si>
  <si>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</si>
  <si>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</si>
  <si>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</si>
  <si>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</si>
  <si>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</si>
  <si>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</si>
  <si>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</si>
  <si>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</si>
  <si>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</si>
  <si>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</si>
  <si>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</si>
  <si>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</si>
  <si>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</si>
  <si>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</si>
  <si>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</si>
  <si>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</si>
  <si>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</si>
  <si>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</si>
  <si>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</si>
  <si>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</si>
  <si>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</si>
  <si>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</si>
  <si>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</si>
  <si>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</si>
  <si>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</si>
  <si>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</si>
  <si>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</si>
  <si>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</si>
  <si>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</si>
  <si>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</si>
  <si>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</si>
  <si>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</si>
  <si>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</si>
  <si>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</si>
  <si>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</si>
  <si>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</si>
  <si>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</si>
  <si>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</si>
  <si>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</si>
  <si>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</si>
  <si>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</si>
  <si>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</si>
  <si>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</si>
  <si>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</si>
  <si>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</si>
  <si>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</si>
  <si>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</si>
  <si>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</si>
  <si>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</si>
  <si>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</si>
  <si>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</si>
  <si>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</si>
  <si>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</si>
  <si>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</si>
  <si>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</si>
  <si>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</si>
  <si>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</si>
  <si>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</si>
  <si>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</si>
  <si>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</si>
  <si>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</si>
  <si>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</si>
  <si>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</si>
  <si>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</si>
  <si>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</si>
  <si>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</si>
  <si>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</si>
  <si>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</si>
  <si>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</si>
  <si>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</si>
  <si>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</si>
  <si>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</si>
  <si>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</si>
  <si>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</si>
  <si>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</si>
  <si>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</si>
  <si>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</si>
  <si>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</si>
  <si>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</si>
  <si>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</si>
  <si>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</si>
  <si>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</si>
  <si>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</si>
  <si>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</si>
  <si>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</si>
  <si>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</si>
  <si>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</si>
  <si>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</si>
  <si>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</si>
  <si>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</si>
  <si>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</si>
  <si>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</si>
  <si>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</si>
  <si>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</si>
  <si>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</si>
  <si>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</si>
  <si>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</si>
  <si>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</si>
  <si>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</si>
  <si>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</si>
  <si>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</si>
  <si>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</si>
  <si>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</si>
  <si>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</si>
  <si>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</si>
  <si>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</si>
  <si>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</si>
  <si>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</si>
  <si>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</si>
  <si>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</si>
  <si>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</si>
  <si>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</si>
  <si>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</si>
  <si>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</si>
  <si>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</si>
  <si>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</si>
  <si>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</si>
  <si>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</si>
  <si>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</si>
  <si>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</si>
  <si>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</si>
  <si>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</si>
  <si>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</si>
  <si>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</si>
  <si>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</si>
  <si>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</si>
  <si>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</si>
  <si>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</si>
  <si>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</si>
  <si>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</si>
  <si>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</si>
  <si>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</si>
  <si>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</si>
  <si>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</si>
  <si>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</si>
  <si>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</si>
  <si>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</si>
  <si>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</si>
  <si>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</si>
  <si>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</si>
  <si>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</si>
  <si>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</si>
  <si>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</si>
  <si>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</si>
  <si>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</si>
  <si>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</si>
  <si>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</si>
  <si>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</si>
  <si>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</si>
  <si>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</si>
  <si>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</si>
  <si>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</si>
  <si>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</si>
  <si>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</si>
  <si>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</si>
  <si>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</si>
  <si>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</si>
  <si>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</si>
  <si>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</si>
  <si>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</si>
  <si>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</si>
  <si>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</si>
  <si>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</si>
  <si>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</si>
  <si>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</si>
  <si>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</si>
  <si>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</si>
  <si>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</si>
  <si>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</si>
  <si>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</si>
  <si>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</si>
  <si>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</si>
  <si>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</si>
  <si>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</si>
  <si>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</si>
  <si>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</si>
  <si>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</si>
  <si>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</si>
  <si>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</si>
  <si>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</si>
  <si>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</si>
  <si>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</si>
  <si>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</si>
  <si>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</si>
  <si>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</si>
  <si>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</si>
  <si>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</si>
  <si>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</si>
  <si>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</si>
  <si>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</si>
  <si>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</si>
  <si>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</si>
  <si>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</si>
  <si>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</si>
  <si>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</si>
  <si>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</si>
  <si>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</si>
  <si>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</si>
  <si>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</si>
  <si>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</si>
  <si>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</si>
  <si>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</si>
  <si>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</si>
  <si>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</si>
  <si>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</si>
  <si>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</si>
  <si>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</si>
  <si>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</si>
  <si>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</si>
  <si>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</si>
  <si>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</si>
  <si>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</si>
  <si>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</si>
  <si>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</si>
  <si>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</si>
  <si>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</si>
  <si>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</si>
  <si>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</si>
  <si>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</si>
  <si>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</si>
  <si>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</si>
  <si>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</si>
  <si>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</si>
  <si>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</si>
  <si>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</si>
  <si>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</si>
  <si>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</si>
  <si>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</si>
  <si>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</si>
  <si>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</si>
  <si>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</si>
  <si>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</si>
  <si>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</si>
  <si>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</si>
  <si>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</si>
  <si>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</si>
  <si>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</si>
  <si>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</si>
  <si>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</si>
  <si>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</si>
  <si>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</si>
  <si>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</si>
  <si>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</si>
  <si>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</si>
  <si>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</si>
  <si>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</si>
  <si>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</si>
  <si>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</si>
  <si>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</si>
  <si>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</si>
  <si>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</si>
  <si>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</si>
  <si>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</si>
  <si>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</si>
  <si>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</si>
  <si>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</si>
  <si>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</si>
  <si>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</si>
  <si>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</si>
  <si>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</si>
  <si>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</si>
  <si>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</si>
  <si>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</si>
  <si>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</si>
  <si>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</si>
  <si>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</si>
  <si>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</si>
  <si>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</si>
  <si>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</si>
  <si>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</si>
  <si>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</si>
  <si>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</si>
  <si>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</si>
  <si>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</si>
  <si>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</si>
  <si>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</si>
  <si>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</si>
  <si>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</si>
  <si>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</si>
  <si>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</si>
  <si>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</si>
  <si>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</si>
  <si>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</si>
  <si>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</si>
  <si>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</si>
  <si>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</si>
  <si>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</si>
  <si>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</si>
  <si>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</si>
  <si>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</si>
  <si>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</si>
  <si>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</si>
  <si>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</si>
  <si>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</si>
  <si>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</si>
  <si>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</si>
  <si>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</si>
  <si>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</si>
  <si>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</si>
  <si>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</si>
  <si>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</si>
  <si>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</si>
  <si>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</si>
  <si>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</si>
  <si>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</si>
  <si>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</si>
  <si>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</si>
  <si>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</si>
  <si>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</si>
  <si>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</si>
  <si>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</si>
  <si>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</si>
  <si>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</si>
  <si>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</si>
  <si>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</si>
  <si>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</si>
  <si>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</si>
  <si>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</si>
  <si>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</si>
  <si>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</si>
  <si>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</si>
  <si>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</si>
  <si>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</si>
  <si>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</si>
  <si>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</si>
  <si>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</si>
  <si>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</si>
  <si>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</si>
  <si>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</si>
  <si>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</si>
  <si>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</si>
  <si>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</si>
  <si>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</si>
  <si>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</si>
  <si>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</si>
  <si>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</si>
  <si>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</si>
  <si>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</si>
  <si>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</si>
  <si>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</si>
  <si>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</si>
  <si>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</si>
  <si>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</si>
  <si>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</si>
  <si>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</si>
  <si>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</si>
  <si>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</si>
  <si>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</si>
  <si>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</si>
  <si>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</si>
  <si>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</si>
  <si>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</si>
  <si>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</si>
  <si>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</si>
  <si>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</si>
  <si>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</si>
  <si>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</si>
  <si>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</si>
  <si>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</si>
  <si>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</si>
  <si>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</si>
  <si>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</si>
  <si>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</si>
  <si>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</si>
  <si>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</si>
  <si>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</si>
  <si>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</si>
  <si>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</si>
  <si>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</si>
  <si>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</si>
  <si>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</si>
  <si>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</si>
  <si>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</si>
  <si>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</si>
  <si>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</si>
  <si>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</si>
  <si>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</si>
  <si>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</si>
  <si>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</si>
  <si>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</si>
  <si>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</si>
  <si>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</si>
  <si>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</si>
  <si>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</si>
  <si>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</si>
  <si>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</si>
  <si>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</si>
  <si>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</si>
  <si>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</si>
  <si>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</si>
  <si>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</si>
  <si>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</si>
  <si>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</si>
  <si>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</si>
  <si>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</si>
  <si>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</si>
  <si>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</si>
  <si>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</si>
  <si>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</si>
  <si>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</si>
  <si>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</si>
  <si>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</si>
  <si>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</si>
  <si>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</si>
  <si>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</si>
  <si>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</si>
  <si>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</si>
  <si>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</si>
  <si>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</si>
  <si>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</si>
  <si>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</si>
  <si>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</si>
  <si>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</si>
  <si>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</si>
  <si>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</si>
  <si>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</si>
  <si>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</si>
  <si>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</si>
  <si>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</si>
  <si>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</si>
  <si>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</si>
  <si>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</si>
  <si>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</si>
  <si>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</si>
  <si>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</si>
  <si>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</si>
  <si>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</si>
  <si>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</si>
  <si>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</si>
  <si>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</si>
  <si>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</si>
  <si>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</si>
  <si>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</si>
  <si>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</si>
  <si>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</si>
  <si>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</si>
  <si>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</si>
  <si>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</si>
  <si>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</si>
  <si>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</si>
  <si>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</si>
  <si>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</si>
  <si>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</si>
  <si>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</si>
  <si>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</si>
  <si>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</si>
  <si>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</si>
  <si>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</si>
  <si>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</si>
  <si>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</si>
  <si>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</si>
  <si>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</si>
  <si>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</si>
  <si>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</si>
  <si>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</si>
  <si>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</si>
  <si>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</si>
  <si>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</si>
  <si>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</si>
  <si>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</si>
  <si>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</si>
  <si>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</si>
  <si>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</si>
  <si>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</si>
  <si>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</si>
  <si>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</si>
  <si>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</si>
  <si>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</si>
  <si>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</si>
  <si>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</si>
  <si>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</si>
  <si>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</si>
  <si>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</si>
  <si>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</si>
  <si>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</si>
  <si>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</si>
  <si>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</si>
  <si>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</si>
  <si>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</si>
  <si>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</si>
  <si>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</si>
  <si>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</si>
  <si>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</si>
  <si>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</si>
  <si>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</si>
  <si>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</si>
  <si>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</si>
  <si>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</si>
  <si>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</si>
  <si>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</si>
  <si>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</si>
  <si>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</si>
  <si>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</si>
  <si>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</si>
  <si>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</si>
  <si>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</si>
  <si>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</si>
  <si>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</si>
  <si>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</si>
  <si>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Orders</t>
  </si>
  <si>
    <t>Count of TX ID</t>
  </si>
  <si>
    <t>Sum of Quantity</t>
  </si>
  <si>
    <t>Sum of Amount</t>
  </si>
  <si>
    <t>Average of Rating C</t>
  </si>
  <si>
    <t>Average of Days to Deliver</t>
  </si>
  <si>
    <t>Values for Display</t>
  </si>
  <si>
    <t>Qty</t>
  </si>
  <si>
    <t>Avg.Rating</t>
  </si>
  <si>
    <t>Avg.Days</t>
  </si>
  <si>
    <t>repeat customer</t>
  </si>
  <si>
    <t>Column Labels</t>
  </si>
  <si>
    <t>Grand Total</t>
  </si>
  <si>
    <t>Row Labels</t>
  </si>
  <si>
    <t>Other</t>
  </si>
  <si>
    <t>For matrix</t>
  </si>
  <si>
    <t>Products</t>
  </si>
  <si>
    <t>California Total</t>
  </si>
  <si>
    <t>Jan</t>
  </si>
  <si>
    <t>Feb</t>
  </si>
  <si>
    <t>Mar</t>
  </si>
  <si>
    <t>Male</t>
  </si>
  <si>
    <t>Female</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</si>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</sst>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809]#,##0"/>
    <numFmt numFmtId="165" formatCode="0.0%"/>
  </numFmts>
  <fonts count="6" x14ac:knownFonts="1">
    <font>
      <sz val="11"/>
      <color theme="1"/>
      <name val="Aptos Narrow"/>
      <family val="2"/>
      <scheme val="minor"/>
    </font>
    <font>
      <b/>
      <sz val="11"/>
      <color theme="1"/>
      <name val="Aptos Narrow"/>
      <family val="2"/>
      <scheme val="minor"/>
    </font>
    <font>
      <b/>
      <sz val="11"/>
      <color theme="1"/>
      <name val="Segoe UI"/>
      <family val="2"/>
    </font>
    <font>
      <b/>
      <sz val="10"/>
      <color theme="1"/>
      <name val="Segoe UI"/>
      <family val="2"/>
    </font>
    <font>
      <b/>
      <i/>
      <sz val="11"/>
      <color theme="1"/>
      <name val="Aptos Narrow"/>
      <family val="2"/>
      <scheme val="minor"/>
    </font>
    <font>
      <i/>
      <sz val="11"/>
      <color theme="1"/>
      <name val="Aptos Narrow"/>
      <family val="2"/>
      <scheme val="minor"/>
    </font>
  </fonts>
  <fills count="6">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2"/>
        <bgColor indexed="64"/>
      </patternFill>
    </fill>
    <fill>
      <patternFill patternType="solid">
        <fgColor theme="4" tint="0.79998168889431442"/>
        <bgColor theme="4" tint="0.79998168889431442"/>
      </patternFill>
    </fill>
  </fills>
  <borders count="9">
    <border>
      <left/>
      <right/>
      <top/>
      <bottom/>
      <diagonal/>
    </border>
    <border>
      <left/>
      <right style="dashed">
        <color theme="0"/>
      </right>
      <top/>
      <bottom style="dashed">
        <color theme="0"/>
      </bottom>
      <diagonal/>
    </border>
    <border>
      <left style="dashed">
        <color theme="0"/>
      </left>
      <right style="dashed">
        <color theme="0"/>
      </right>
      <top/>
      <bottom style="dashed">
        <color theme="0"/>
      </bottom>
      <diagonal/>
    </border>
    <border>
      <left/>
      <right style="dashed">
        <color theme="0"/>
      </right>
      <top style="dashed">
        <color theme="0"/>
      </top>
      <bottom style="dashed">
        <color theme="0"/>
      </bottom>
      <diagonal/>
    </border>
    <border>
      <left style="dashed">
        <color theme="0"/>
      </left>
      <right style="dashed">
        <color theme="0"/>
      </right>
      <top style="dashed">
        <color theme="0"/>
      </top>
      <bottom style="dashed">
        <color theme="0"/>
      </bottom>
      <diagonal/>
    </border>
    <border>
      <left/>
      <right style="dashed">
        <color theme="0"/>
      </right>
      <top style="dashed">
        <color theme="0"/>
      </top>
      <bottom/>
      <diagonal/>
    </border>
    <border>
      <left style="dashed">
        <color theme="0"/>
      </left>
      <right style="dashed">
        <color theme="0"/>
      </right>
      <top style="dashed">
        <color theme="0"/>
      </top>
      <bottom/>
      <diagonal/>
    </border>
    <border>
      <left/>
      <right/>
      <top/>
      <bottom style="thin">
        <color theme="4" tint="0.39997558519241921"/>
      </bottom>
      <diagonal/>
    </border>
    <border>
      <left/>
      <right/>
      <top style="thin">
        <color theme="4"/>
      </top>
      <bottom style="thin">
        <color theme="4"/>
      </bottom>
      <diagonal/>
    </border>
  </borders>
  <cellStyleXfs count="1">
    <xf numFmtId="0" fontId="0" fillId="0" borderId="0"/>
  </cellStyleXfs>
  <cellXfs count="27">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0" fontId="0" fillId="0" borderId="0" xfId="0" applyAlignment="1">
      <alignment vertical="center"/>
    </xf>
    <xf numFmtId="165" fontId="0" fillId="0" borderId="1" xfId="0" applyNumberFormat="1" applyBorder="1" applyAlignment="1">
      <alignment horizontal="center" vertical="center"/>
    </xf>
    <xf numFmtId="165" fontId="0" fillId="0" borderId="2" xfId="0" applyNumberFormat="1" applyBorder="1" applyAlignment="1">
      <alignment horizontal="center" vertical="center"/>
    </xf>
    <xf numFmtId="165" fontId="0" fillId="0" borderId="3" xfId="0" applyNumberFormat="1" applyBorder="1" applyAlignment="1">
      <alignment horizontal="center" vertical="center"/>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165" fontId="0" fillId="0" borderId="6" xfId="0" applyNumberFormat="1" applyBorder="1" applyAlignment="1">
      <alignment horizontal="center" vertical="center"/>
    </xf>
    <xf numFmtId="0" fontId="2" fillId="3" borderId="0" xfId="0" applyFont="1" applyFill="1" applyAlignment="1">
      <alignment vertical="center"/>
    </xf>
    <xf numFmtId="0" fontId="2" fillId="4" borderId="0" xfId="0" applyFont="1" applyFill="1"/>
    <xf numFmtId="165" fontId="3" fillId="3" borderId="0" xfId="0" applyNumberFormat="1" applyFont="1" applyFill="1"/>
    <xf numFmtId="0" fontId="1" fillId="5" borderId="7" xfId="0" applyFont="1" applyFill="1" applyBorder="1"/>
    <xf numFmtId="0" fontId="1" fillId="0" borderId="0" xfId="0" applyFont="1"/>
    <xf numFmtId="0" fontId="1" fillId="0" borderId="8" xfId="0" applyFont="1" applyBorder="1"/>
    <xf numFmtId="0" fontId="4" fillId="5" borderId="7" xfId="0" applyFont="1" applyFill="1" applyBorder="1"/>
    <xf numFmtId="0" fontId="4" fillId="0" borderId="0" xfId="0" applyFont="1"/>
    <xf numFmtId="0" fontId="5" fillId="0" borderId="0" xfId="0" applyFont="1"/>
    <xf numFmtId="0" fontId="4" fillId="0" borderId="7" xfId="0" applyFont="1" applyBorder="1"/>
    <xf numFmtId="0" fontId="4" fillId="0" borderId="8" xfId="0" applyFont="1" applyBorder="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E5E5E5"/>
      <color rgb="FF0A2940"/>
      <color rgb="FF003300"/>
      <color rgb="FFF5F7FA"/>
      <color rgb="FF66FF66"/>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[Sufiyan_Malik_2.1.xlsx]Sheet1!PivotTable3</c:name>
    <c:fmtId val="5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F28F-4E9E-AD8D-4AB089D3FA40}"/>
            </c:ext>
          </c:extLst>
        </c:ser>
        <c:dLbls>
          <c:showLegendKey val="0"/>
          <c:showVal val="0"/>
          <c:showCatName val="0"/>
          <c:showSerName val="0"/>
          <c:showPercent val="0"/>
          <c:showBubbleSize val="0"/>
        </c:dLbls>
        <c:marker val="1"/>
        <c:smooth val="0"/>
        <c:axId val="1328423887"/>
        <c:axId val="1328400367"/>
      </c:lineChart>
      <c:lineChart>
        <c:grouping val="standard"/>
        <c:varyColors val="0"/>
        <c:ser>
          <c:idx val="1"/>
          <c:order val="1"/>
          <c:tx>
            <c:strRef>
              <c:f>Sheet1!$C$10</c:f>
              <c:strCache>
                <c:ptCount val="1"/>
                <c:pt idx="0">
                  <c:v>Sum of Amount</c:v>
                </c:pt>
              </c:strCache>
            </c:strRef>
          </c:tx>
          <c:spPr>
            <a:ln w="28575" cap="rnd">
              <a:solidFill>
                <a:schemeClr val="accent2"/>
              </a:solidFill>
              <a:round/>
            </a:ln>
            <a:effectLst/>
          </c:spPr>
          <c:marker>
            <c:symbol val="none"/>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Sheet1!$C$11:$C$24</c:f>
              <c:numCache>
                <c:formatCode>[$$-2809]#,##0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F28F-4E9E-AD8D-4AB089D3FA40}"/>
            </c:ext>
          </c:extLst>
        </c:ser>
        <c:dLbls>
          <c:showLegendKey val="0"/>
          <c:showVal val="0"/>
          <c:showCatName val="0"/>
          <c:showSerName val="0"/>
          <c:showPercent val="0"/>
          <c:showBubbleSize val="0"/>
        </c:dLbls>
        <c:marker val="1"/>
        <c:smooth val="0"/>
        <c:axId val="1328449327"/>
        <c:axId val="1328440687"/>
      </c:lineChart>
      <c:catAx>
        <c:axId val="132842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400367"/>
        <c:crosses val="autoZero"/>
        <c:auto val="1"/>
        <c:lblAlgn val="ctr"/>
        <c:lblOffset val="100"/>
        <c:noMultiLvlLbl val="0"/>
      </c:catAx>
      <c:valAx>
        <c:axId val="132840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423887"/>
        <c:crosses val="autoZero"/>
        <c:crossBetween val="between"/>
      </c:valAx>
      <c:valAx>
        <c:axId val="1328440687"/>
        <c:scaling>
          <c:orientation val="minMax"/>
        </c:scaling>
        <c:delete val="0"/>
        <c:axPos val="r"/>
        <c:numFmt formatCode="[$$-28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449327"/>
        <c:crosses val="max"/>
        <c:crossBetween val="between"/>
      </c:valAx>
      <c:catAx>
        <c:axId val="1328449327"/>
        <c:scaling>
          <c:orientation val="minMax"/>
        </c:scaling>
        <c:delete val="1"/>
        <c:axPos val="b"/>
        <c:numFmt formatCode="General" sourceLinked="1"/>
        <c:majorTickMark val="out"/>
        <c:minorTickMark val="none"/>
        <c:tickLblPos val="nextTo"/>
        <c:crossAx val="13284406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[Sufiyan_Malik_2.1.xlsx]Sheet6!PivotTable2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37423447069115"/>
          <c:y val="0.14249781277340332"/>
          <c:w val="0.3651813210848644"/>
          <c:h val="0.75047317002041414"/>
        </c:manualLayout>
      </c:layout>
      <c:barChart>
        <c:barDir val="bar"/>
        <c:grouping val="stacked"/>
        <c:varyColors val="0"/>
        <c:ser>
          <c:idx val="0"/>
          <c:order val="0"/>
          <c:tx>
            <c:strRef>
              <c:f>Sheet6!$B$3:$B$4</c:f>
              <c:strCache>
                <c:ptCount val="1"/>
                <c:pt idx="0">
                  <c:v>Female</c:v>
                </c:pt>
              </c:strCache>
            </c:strRef>
          </c:tx>
          <c:spPr>
            <a:solidFill>
              <a:schemeClr val="accent1"/>
            </a:solidFill>
            <a:ln>
              <a:noFill/>
            </a:ln>
            <a:effectLst/>
          </c:spPr>
          <c:invertIfNegative val="0"/>
          <c:cat>
            <c:strRef>
              <c:f>Sheet6!$A$5:$A$25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Sheet6!$B$5:$B$25</c:f>
              <c:numCache>
                <c:formatCode>General</c:formatCode>
                <c:ptCount val="20"/>
                <c:pt idx="0">
                  <c:v>65526.899999999987</c:v>
                </c:pt>
                <c:pt idx="1">
                  <c:v>51517.69999999999</c:v>
                </c:pt>
                <c:pt idx="2">
                  <c:v>36637.9</c:v>
                </c:pt>
                <c:pt idx="3">
                  <c:v>23579</c:v>
                </c:pt>
                <c:pt idx="4">
                  <c:v>15958.099999999999</c:v>
                </c:pt>
                <c:pt idx="5">
                  <c:v>20737.599999999999</c:v>
                </c:pt>
                <c:pt idx="6">
                  <c:v>16244.9</c:v>
                </c:pt>
                <c:pt idx="7">
                  <c:v>18259.300000000003</c:v>
                </c:pt>
                <c:pt idx="8">
                  <c:v>14225.499999999996</c:v>
                </c:pt>
                <c:pt idx="9">
                  <c:v>15491.400000000005</c:v>
                </c:pt>
                <c:pt idx="10">
                  <c:v>15089.999999999995</c:v>
                </c:pt>
                <c:pt idx="11">
                  <c:v>7255.300000000002</c:v>
                </c:pt>
                <c:pt idx="12">
                  <c:v>8267.2000000000007</c:v>
                </c:pt>
                <c:pt idx="13">
                  <c:v>9612.6999999999953</c:v>
                </c:pt>
                <c:pt idx="14">
                  <c:v>4965.8</c:v>
                </c:pt>
                <c:pt idx="15">
                  <c:v>7367.1</c:v>
                </c:pt>
                <c:pt idx="16">
                  <c:v>5668.8999999999987</c:v>
                </c:pt>
                <c:pt idx="17">
                  <c:v>2640.7999999999997</c:v>
                </c:pt>
                <c:pt idx="18">
                  <c:v>1235.3</c:v>
                </c:pt>
                <c:pt idx="19">
                  <c:v>426.2</c:v>
                </c:pt>
              </c:numCache>
            </c:numRef>
          </c:val>
          <c:extLst>
            <c:ext xmlns:c16="http://schemas.microsoft.com/office/drawing/2014/chart" uri="{C3380CC4-5D6E-409C-BE32-E72D297353CC}">
              <c16:uniqueId val="{00000000-6940-455C-B1DA-5D4A11786F78}"/>
            </c:ext>
          </c:extLst>
        </c:ser>
        <c:ser>
          <c:idx val="1"/>
          <c:order val="1"/>
          <c:tx>
            <c:strRef>
              <c:f>Sheet6!$C$3:$C$4</c:f>
              <c:strCache>
                <c:ptCount val="1"/>
                <c:pt idx="0">
                  <c:v>Male</c:v>
                </c:pt>
              </c:strCache>
            </c:strRef>
          </c:tx>
          <c:spPr>
            <a:solidFill>
              <a:schemeClr val="accent3"/>
            </a:solidFill>
            <a:ln>
              <a:noFill/>
            </a:ln>
            <a:effectLst/>
          </c:spPr>
          <c:invertIfNegative val="0"/>
          <c:cat>
            <c:strRef>
              <c:f>Sheet6!$A$5:$A$25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Sheet6!$C$5:$C$25</c:f>
              <c:numCache>
                <c:formatCode>General</c:formatCode>
                <c:ptCount val="20"/>
                <c:pt idx="0">
                  <c:v>42922.100000000006</c:v>
                </c:pt>
                <c:pt idx="1">
                  <c:v>42448.80000000001</c:v>
                </c:pt>
                <c:pt idx="2">
                  <c:v>18378.100000000006</c:v>
                </c:pt>
                <c:pt idx="3">
                  <c:v>20907.899999999998</c:v>
                </c:pt>
                <c:pt idx="4">
                  <c:v>17923.5</c:v>
                </c:pt>
                <c:pt idx="5">
                  <c:v>8644.8999999999978</c:v>
                </c:pt>
                <c:pt idx="6">
                  <c:v>13831.999999999996</c:v>
                </c:pt>
                <c:pt idx="7">
                  <c:v>11586.300000000001</c:v>
                </c:pt>
                <c:pt idx="8">
                  <c:v>8705.9</c:v>
                </c:pt>
                <c:pt idx="9">
                  <c:v>6208.1</c:v>
                </c:pt>
                <c:pt idx="10">
                  <c:v>6977.3</c:v>
                </c:pt>
                <c:pt idx="11">
                  <c:v>11228.900000000001</c:v>
                </c:pt>
                <c:pt idx="12">
                  <c:v>6150.8</c:v>
                </c:pt>
                <c:pt idx="13">
                  <c:v>6373.0999999999995</c:v>
                </c:pt>
                <c:pt idx="14">
                  <c:v>4991</c:v>
                </c:pt>
                <c:pt idx="15">
                  <c:v>3362.3000000000006</c:v>
                </c:pt>
                <c:pt idx="16">
                  <c:v>3198.4</c:v>
                </c:pt>
                <c:pt idx="17">
                  <c:v>3242.2</c:v>
                </c:pt>
                <c:pt idx="18">
                  <c:v>2420.7000000000003</c:v>
                </c:pt>
                <c:pt idx="19">
                  <c:v>1393.4</c:v>
                </c:pt>
              </c:numCache>
            </c:numRef>
          </c:val>
          <c:extLst>
            <c:ext xmlns:c16="http://schemas.microsoft.com/office/drawing/2014/chart" uri="{C3380CC4-5D6E-409C-BE32-E72D297353CC}">
              <c16:uniqueId val="{00000000-DA8E-4D1D-AA37-4158DBD9B851}"/>
            </c:ext>
          </c:extLst>
        </c:ser>
        <c:ser>
          <c:idx val="2"/>
          <c:order val="2"/>
          <c:tx>
            <c:strRef>
              <c:f>Sheet6!$D$3:$D$4</c:f>
              <c:strCache>
                <c:ptCount val="1"/>
                <c:pt idx="0">
                  <c:v>Other</c:v>
                </c:pt>
              </c:strCache>
            </c:strRef>
          </c:tx>
          <c:spPr>
            <a:solidFill>
              <a:schemeClr val="accent5"/>
            </a:solidFill>
            <a:ln>
              <a:noFill/>
            </a:ln>
            <a:effectLst/>
          </c:spPr>
          <c:invertIfNegative val="0"/>
          <c:cat>
            <c:strRef>
              <c:f>Sheet6!$A$5:$A$25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Sheet6!$D$5:$D$25</c:f>
              <c:numCache>
                <c:formatCode>General</c:formatCode>
                <c:ptCount val="20"/>
                <c:pt idx="0">
                  <c:v>3173</c:v>
                </c:pt>
                <c:pt idx="1">
                  <c:v>1788.7</c:v>
                </c:pt>
                <c:pt idx="2">
                  <c:v>1304.5999999999999</c:v>
                </c:pt>
                <c:pt idx="3">
                  <c:v>2266.7999999999997</c:v>
                </c:pt>
                <c:pt idx="4">
                  <c:v>894</c:v>
                </c:pt>
                <c:pt idx="5">
                  <c:v>656.7</c:v>
                </c:pt>
                <c:pt idx="6">
                  <c:v>558.1</c:v>
                </c:pt>
                <c:pt idx="7">
                  <c:v>216.79999999999998</c:v>
                </c:pt>
                <c:pt idx="8">
                  <c:v>606.79999999999995</c:v>
                </c:pt>
                <c:pt idx="9">
                  <c:v>1415.4</c:v>
                </c:pt>
                <c:pt idx="10">
                  <c:v>537.70000000000005</c:v>
                </c:pt>
                <c:pt idx="11">
                  <c:v>1310.3</c:v>
                </c:pt>
                <c:pt idx="12">
                  <c:v>222.8</c:v>
                </c:pt>
                <c:pt idx="14">
                  <c:v>670.80000000000007</c:v>
                </c:pt>
                <c:pt idx="15">
                  <c:v>295.79999999999995</c:v>
                </c:pt>
                <c:pt idx="16">
                  <c:v>109.80000000000001</c:v>
                </c:pt>
                <c:pt idx="17">
                  <c:v>90.4</c:v>
                </c:pt>
                <c:pt idx="18">
                  <c:v>828.8</c:v>
                </c:pt>
                <c:pt idx="19">
                  <c:v>86.8</c:v>
                </c:pt>
              </c:numCache>
            </c:numRef>
          </c:val>
          <c:extLst>
            <c:ext xmlns:c16="http://schemas.microsoft.com/office/drawing/2014/chart" uri="{C3380CC4-5D6E-409C-BE32-E72D297353CC}">
              <c16:uniqueId val="{00000001-DA8E-4D1D-AA37-4158DBD9B851}"/>
            </c:ext>
          </c:extLst>
        </c:ser>
        <c:ser>
          <c:idx val="3"/>
          <c:order val="3"/>
          <c:tx>
            <c:strRef>
              <c:f>Sheet6!$E$3:$E$4</c:f>
              <c:strCache>
                <c:ptCount val="1"/>
                <c:pt idx="0">
                  <c:v>Unknown</c:v>
                </c:pt>
              </c:strCache>
            </c:strRef>
          </c:tx>
          <c:spPr>
            <a:solidFill>
              <a:schemeClr val="accent1">
                <a:lumMod val="60000"/>
              </a:schemeClr>
            </a:solidFill>
            <a:ln>
              <a:noFill/>
            </a:ln>
            <a:effectLst/>
          </c:spPr>
          <c:invertIfNegative val="0"/>
          <c:cat>
            <c:strRef>
              <c:f>Sheet6!$A$5:$A$25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Sheet6!$E$5:$E$25</c:f>
              <c:numCache>
                <c:formatCode>General</c:formatCode>
                <c:ptCount val="20"/>
                <c:pt idx="0">
                  <c:v>16015.5</c:v>
                </c:pt>
                <c:pt idx="1">
                  <c:v>17138</c:v>
                </c:pt>
                <c:pt idx="2">
                  <c:v>1073.4000000000001</c:v>
                </c:pt>
                <c:pt idx="3">
                  <c:v>2802.2000000000003</c:v>
                </c:pt>
                <c:pt idx="4">
                  <c:v>464.9</c:v>
                </c:pt>
                <c:pt idx="5">
                  <c:v>2013.6000000000001</c:v>
                </c:pt>
                <c:pt idx="6">
                  <c:v>973.10000000000014</c:v>
                </c:pt>
                <c:pt idx="7">
                  <c:v>774.40000000000009</c:v>
                </c:pt>
                <c:pt idx="8">
                  <c:v>1668.3000000000002</c:v>
                </c:pt>
                <c:pt idx="9">
                  <c:v>1549.7</c:v>
                </c:pt>
                <c:pt idx="10">
                  <c:v>383.6</c:v>
                </c:pt>
                <c:pt idx="11">
                  <c:v>375.90000000000003</c:v>
                </c:pt>
                <c:pt idx="12">
                  <c:v>2027.4</c:v>
                </c:pt>
                <c:pt idx="13">
                  <c:v>330.6</c:v>
                </c:pt>
                <c:pt idx="14">
                  <c:v>636</c:v>
                </c:pt>
                <c:pt idx="16">
                  <c:v>1728.4</c:v>
                </c:pt>
                <c:pt idx="17">
                  <c:v>315.20000000000005</c:v>
                </c:pt>
                <c:pt idx="18">
                  <c:v>112.19999999999999</c:v>
                </c:pt>
              </c:numCache>
            </c:numRef>
          </c:val>
          <c:extLst>
            <c:ext xmlns:c16="http://schemas.microsoft.com/office/drawing/2014/chart" uri="{C3380CC4-5D6E-409C-BE32-E72D297353CC}">
              <c16:uniqueId val="{00000002-DA8E-4D1D-AA37-4158DBD9B851}"/>
            </c:ext>
          </c:extLst>
        </c:ser>
        <c:dLbls>
          <c:showLegendKey val="0"/>
          <c:showVal val="0"/>
          <c:showCatName val="0"/>
          <c:showSerName val="0"/>
          <c:showPercent val="0"/>
          <c:showBubbleSize val="0"/>
        </c:dLbls>
        <c:gapWidth val="150"/>
        <c:overlap val="100"/>
        <c:axId val="600563327"/>
        <c:axId val="600568127"/>
      </c:barChart>
      <c:catAx>
        <c:axId val="60056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68127"/>
        <c:crosses val="autoZero"/>
        <c:auto val="1"/>
        <c:lblAlgn val="ctr"/>
        <c:lblOffset val="100"/>
        <c:noMultiLvlLbl val="0"/>
      </c:catAx>
      <c:valAx>
        <c:axId val="60056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6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[Sufiyan_Malik_2.1.xlsx]Sheet6!PivotTable1</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Sheet6!$M$7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E9-4D56-983E-7F3A864D023C}"/>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Sheet6!$L$8:$L$12</c:f>
              <c:strCache>
                <c:ptCount val="4"/>
                <c:pt idx="0">
                  <c:v>Female</c:v>
                </c:pt>
                <c:pt idx="1">
                  <c:v>Male</c:v>
                </c:pt>
                <c:pt idx="2">
                  <c:v>Other</c:v>
                </c:pt>
                <c:pt idx="3">
                  <c:v>Unknown</c:v>
                </c:pt>
              </c:strCache>
            </c:strRef>
          </c:cat>
          <c:val>
            <c:numRef>
              <c:f>Sheet6!$M$8:$M$12</c:f>
              <c:numCache>
                <c:formatCode>General</c:formatCode>
                <c:ptCount val="4"/>
                <c:pt idx="0">
                  <c:v>340707.60000000009</c:v>
                </c:pt>
                <c:pt idx="1">
                  <c:v>240895.6999999999</c:v>
                </c:pt>
                <c:pt idx="2">
                  <c:v>17034.099999999995</c:v>
                </c:pt>
                <c:pt idx="3">
                  <c:v>50382.400000000001</c:v>
                </c:pt>
              </c:numCache>
            </c:numRef>
          </c:val>
          <c:extLst>
            <c:ext xmlns:c16="http://schemas.microsoft.com/office/drawing/2014/chart" uri="{C3380CC4-5D6E-409C-BE32-E72D297353CC}">
              <c16:uniqueId val="{00000002-3334-4E37-BE06-8964DDDFC2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[Sufiyan_Malik_2.1.xlsx]Sheet6!PivotTable5</c:name>
    <c:fmtId val="3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Sheet6!$J$25:$J$26</c:f>
              <c:strCache>
                <c:ptCount val="1"/>
                <c:pt idx="0">
                  <c:v>1</c:v>
                </c:pt>
              </c:strCache>
            </c:strRef>
          </c:tx>
          <c:spPr>
            <a:solidFill>
              <a:schemeClr val="accent1"/>
            </a:solidFill>
            <a:ln>
              <a:noFill/>
            </a:ln>
            <a:effectLst/>
          </c:spPr>
          <c:invertIfNegative val="0"/>
          <c:cat>
            <c:strRef>
              <c:f>Sheet6!$I$27:$I$30</c:f>
              <c:strCache>
                <c:ptCount val="3"/>
                <c:pt idx="0">
                  <c:v>Jan</c:v>
                </c:pt>
                <c:pt idx="1">
                  <c:v>Feb</c:v>
                </c:pt>
                <c:pt idx="2">
                  <c:v>Mar</c:v>
                </c:pt>
              </c:strCache>
            </c:strRef>
          </c:cat>
          <c:val>
            <c:numRef>
              <c:f>Sheet6!$J$27:$J$30</c:f>
              <c:numCache>
                <c:formatCode>General</c:formatCode>
                <c:ptCount val="3"/>
                <c:pt idx="0">
                  <c:v>7</c:v>
                </c:pt>
                <c:pt idx="1">
                  <c:v>8</c:v>
                </c:pt>
                <c:pt idx="2">
                  <c:v>6</c:v>
                </c:pt>
              </c:numCache>
            </c:numRef>
          </c:val>
          <c:extLst>
            <c:ext xmlns:c16="http://schemas.microsoft.com/office/drawing/2014/chart" uri="{C3380CC4-5D6E-409C-BE32-E72D297353CC}">
              <c16:uniqueId val="{00000000-ACB4-4E81-8B7C-D49F27D66FE3}"/>
            </c:ext>
          </c:extLst>
        </c:ser>
        <c:ser>
          <c:idx val="1"/>
          <c:order val="1"/>
          <c:tx>
            <c:strRef>
              <c:f>Sheet6!$K$25:$K$26</c:f>
              <c:strCache>
                <c:ptCount val="1"/>
                <c:pt idx="0">
                  <c:v>2</c:v>
                </c:pt>
              </c:strCache>
            </c:strRef>
          </c:tx>
          <c:spPr>
            <a:solidFill>
              <a:schemeClr val="accent2"/>
            </a:solidFill>
            <a:ln>
              <a:noFill/>
            </a:ln>
            <a:effectLst/>
          </c:spPr>
          <c:invertIfNegative val="0"/>
          <c:cat>
            <c:strRef>
              <c:f>Sheet6!$I$27:$I$30</c:f>
              <c:strCache>
                <c:ptCount val="3"/>
                <c:pt idx="0">
                  <c:v>Jan</c:v>
                </c:pt>
                <c:pt idx="1">
                  <c:v>Feb</c:v>
                </c:pt>
                <c:pt idx="2">
                  <c:v>Mar</c:v>
                </c:pt>
              </c:strCache>
            </c:strRef>
          </c:cat>
          <c:val>
            <c:numRef>
              <c:f>Sheet6!$K$27:$K$30</c:f>
              <c:numCache>
                <c:formatCode>General</c:formatCode>
                <c:ptCount val="3"/>
                <c:pt idx="0">
                  <c:v>37</c:v>
                </c:pt>
                <c:pt idx="1">
                  <c:v>51</c:v>
                </c:pt>
                <c:pt idx="2">
                  <c:v>39</c:v>
                </c:pt>
              </c:numCache>
            </c:numRef>
          </c:val>
          <c:extLst>
            <c:ext xmlns:c16="http://schemas.microsoft.com/office/drawing/2014/chart" uri="{C3380CC4-5D6E-409C-BE32-E72D297353CC}">
              <c16:uniqueId val="{00000004-ACB4-4E81-8B7C-D49F27D66FE3}"/>
            </c:ext>
          </c:extLst>
        </c:ser>
        <c:ser>
          <c:idx val="2"/>
          <c:order val="2"/>
          <c:tx>
            <c:strRef>
              <c:f>Sheet6!$L$25:$L$26</c:f>
              <c:strCache>
                <c:ptCount val="1"/>
                <c:pt idx="0">
                  <c:v>3</c:v>
                </c:pt>
              </c:strCache>
            </c:strRef>
          </c:tx>
          <c:spPr>
            <a:solidFill>
              <a:schemeClr val="accent3"/>
            </a:solidFill>
            <a:ln>
              <a:noFill/>
            </a:ln>
            <a:effectLst/>
          </c:spPr>
          <c:invertIfNegative val="0"/>
          <c:cat>
            <c:strRef>
              <c:f>Sheet6!$I$27:$I$30</c:f>
              <c:strCache>
                <c:ptCount val="3"/>
                <c:pt idx="0">
                  <c:v>Jan</c:v>
                </c:pt>
                <c:pt idx="1">
                  <c:v>Feb</c:v>
                </c:pt>
                <c:pt idx="2">
                  <c:v>Mar</c:v>
                </c:pt>
              </c:strCache>
            </c:strRef>
          </c:cat>
          <c:val>
            <c:numRef>
              <c:f>Sheet6!$L$27:$L$30</c:f>
              <c:numCache>
                <c:formatCode>General</c:formatCode>
                <c:ptCount val="3"/>
                <c:pt idx="0">
                  <c:v>150</c:v>
                </c:pt>
                <c:pt idx="1">
                  <c:v>182</c:v>
                </c:pt>
                <c:pt idx="2">
                  <c:v>163</c:v>
                </c:pt>
              </c:numCache>
            </c:numRef>
          </c:val>
          <c:extLst>
            <c:ext xmlns:c16="http://schemas.microsoft.com/office/drawing/2014/chart" uri="{C3380CC4-5D6E-409C-BE32-E72D297353CC}">
              <c16:uniqueId val="{00000005-ACB4-4E81-8B7C-D49F27D66FE3}"/>
            </c:ext>
          </c:extLst>
        </c:ser>
        <c:ser>
          <c:idx val="3"/>
          <c:order val="3"/>
          <c:tx>
            <c:strRef>
              <c:f>Sheet6!$M$25:$M$26</c:f>
              <c:strCache>
                <c:ptCount val="1"/>
                <c:pt idx="0">
                  <c:v>4</c:v>
                </c:pt>
              </c:strCache>
            </c:strRef>
          </c:tx>
          <c:spPr>
            <a:solidFill>
              <a:schemeClr val="accent4"/>
            </a:solidFill>
            <a:ln>
              <a:noFill/>
            </a:ln>
            <a:effectLst/>
          </c:spPr>
          <c:invertIfNegative val="0"/>
          <c:cat>
            <c:strRef>
              <c:f>Sheet6!$I$27:$I$30</c:f>
              <c:strCache>
                <c:ptCount val="3"/>
                <c:pt idx="0">
                  <c:v>Jan</c:v>
                </c:pt>
                <c:pt idx="1">
                  <c:v>Feb</c:v>
                </c:pt>
                <c:pt idx="2">
                  <c:v>Mar</c:v>
                </c:pt>
              </c:strCache>
            </c:strRef>
          </c:cat>
          <c:val>
            <c:numRef>
              <c:f>Sheet6!$M$27:$M$30</c:f>
              <c:numCache>
                <c:formatCode>General</c:formatCode>
                <c:ptCount val="3"/>
                <c:pt idx="0">
                  <c:v>312</c:v>
                </c:pt>
                <c:pt idx="1">
                  <c:v>373</c:v>
                </c:pt>
                <c:pt idx="2">
                  <c:v>351</c:v>
                </c:pt>
              </c:numCache>
            </c:numRef>
          </c:val>
          <c:extLst>
            <c:ext xmlns:c16="http://schemas.microsoft.com/office/drawing/2014/chart" uri="{C3380CC4-5D6E-409C-BE32-E72D297353CC}">
              <c16:uniqueId val="{00000000-A013-4536-8130-59807BC8D692}"/>
            </c:ext>
          </c:extLst>
        </c:ser>
        <c:ser>
          <c:idx val="4"/>
          <c:order val="4"/>
          <c:tx>
            <c:strRef>
              <c:f>Sheet6!$N$25:$N$26</c:f>
              <c:strCache>
                <c:ptCount val="1"/>
                <c:pt idx="0">
                  <c:v>5</c:v>
                </c:pt>
              </c:strCache>
            </c:strRef>
          </c:tx>
          <c:spPr>
            <a:solidFill>
              <a:schemeClr val="accent5"/>
            </a:solidFill>
            <a:ln>
              <a:noFill/>
            </a:ln>
            <a:effectLst/>
          </c:spPr>
          <c:invertIfNegative val="0"/>
          <c:cat>
            <c:strRef>
              <c:f>Sheet6!$I$27:$I$30</c:f>
              <c:strCache>
                <c:ptCount val="3"/>
                <c:pt idx="0">
                  <c:v>Jan</c:v>
                </c:pt>
                <c:pt idx="1">
                  <c:v>Feb</c:v>
                </c:pt>
                <c:pt idx="2">
                  <c:v>Mar</c:v>
                </c:pt>
              </c:strCache>
            </c:strRef>
          </c:cat>
          <c:val>
            <c:numRef>
              <c:f>Sheet6!$N$27:$N$30</c:f>
              <c:numCache>
                <c:formatCode>General</c:formatCode>
                <c:ptCount val="3"/>
                <c:pt idx="0">
                  <c:v>224</c:v>
                </c:pt>
                <c:pt idx="1">
                  <c:v>247</c:v>
                </c:pt>
                <c:pt idx="2">
                  <c:v>250</c:v>
                </c:pt>
              </c:numCache>
            </c:numRef>
          </c:val>
          <c:extLst>
            <c:ext xmlns:c16="http://schemas.microsoft.com/office/drawing/2014/chart" uri="{C3380CC4-5D6E-409C-BE32-E72D297353CC}">
              <c16:uniqueId val="{00000001-A013-4536-8130-59807BC8D692}"/>
            </c:ext>
          </c:extLst>
        </c:ser>
        <c:dLbls>
          <c:showLegendKey val="0"/>
          <c:showVal val="0"/>
          <c:showCatName val="0"/>
          <c:showSerName val="0"/>
          <c:showPercent val="0"/>
          <c:showBubbleSize val="0"/>
        </c:dLbls>
        <c:gapWidth val="219"/>
        <c:overlap val="-27"/>
        <c:axId val="460800416"/>
        <c:axId val="460798016"/>
      </c:barChart>
      <c:catAx>
        <c:axId val="460800416"/>
        <c:scaling>
          <c:orientation val="minMax"/>
        </c:scaling>
        <c:delete val="1"/>
        <c:axPos val="b"/>
        <c:numFmt formatCode="General" sourceLinked="1"/>
        <c:majorTickMark val="none"/>
        <c:minorTickMark val="none"/>
        <c:tickLblPos val="nextTo"/>
        <c:crossAx val="460798016"/>
        <c:crosses val="autoZero"/>
        <c:auto val="1"/>
        <c:lblAlgn val="ctr"/>
        <c:lblOffset val="100"/>
        <c:noMultiLvlLbl val="0"/>
      </c:catAx>
      <c:valAx>
        <c:axId val="460798016"/>
        <c:scaling>
          <c:orientation val="minMax"/>
        </c:scaling>
        <c:delete val="1"/>
        <c:axPos val="l"/>
        <c:numFmt formatCode="General" sourceLinked="1"/>
        <c:majorTickMark val="none"/>
        <c:minorTickMark val="none"/>
        <c:tickLblPos val="nextTo"/>
        <c:crossAx val="46080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[Sufiyan_Malik_2.1.xlsx]Sheet1!PivotTable3</c:name>
    <c:fmtId val="65"/>
  </c:pivotSource>
  <c:chart>
    <c:title>
      <c:tx>
        <c:rich>
          <a:bodyPr rot="0" spcFirstLastPara="1" vertOverflow="ellipsis" vert="horz" wrap="square" anchor="ctr" anchorCtr="1"/>
          <a:lstStyle/>
          <a:p>
            <a:pPr>
              <a:defRPr lang="en-US" sz="1680" b="1" i="0" u="none" strike="noStrike" kern="1200" spc="0" baseline="0">
                <a:ln>
                  <a:noFill/>
                </a:ln>
                <a:solidFill>
                  <a:schemeClr val="tx1"/>
                </a:solidFill>
                <a:effectLst/>
                <a:latin typeface="Segoe UI" panose="020B0502040204020203" pitchFamily="34" charset="0"/>
                <a:ea typeface="+mn-ea"/>
                <a:cs typeface="Segoe UI" panose="020B0502040204020203" pitchFamily="34" charset="0"/>
              </a:defRPr>
            </a:pPr>
            <a:r>
              <a:rPr lang="en-US" sz="1400"/>
              <a:t>Last 13Week Trends-Qty&amp;Amount</a:t>
            </a:r>
          </a:p>
        </c:rich>
      </c:tx>
      <c:layout>
        <c:manualLayout>
          <c:xMode val="edge"/>
          <c:yMode val="edge"/>
          <c:x val="7.5072483672099136E-2"/>
          <c:y val="0"/>
        </c:manualLayout>
      </c:layout>
      <c:overlay val="0"/>
      <c:spPr>
        <a:noFill/>
        <a:ln>
          <a:noFill/>
        </a:ln>
        <a:effectLst/>
      </c:spPr>
      <c:txPr>
        <a:bodyPr rot="0" spcFirstLastPara="1" vertOverflow="ellipsis" vert="horz" wrap="square" anchor="ctr" anchorCtr="1"/>
        <a:lstStyle/>
        <a:p>
          <a:pPr>
            <a:defRPr lang="en-US" sz="1680" b="1" i="0" u="none" strike="noStrike" kern="1200" spc="0" baseline="0">
              <a:ln>
                <a:noFill/>
              </a:ln>
              <a:solidFill>
                <a:schemeClr val="tx1"/>
              </a:solidFill>
              <a:effectLst/>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ln>
                    <a:noFill/>
                  </a:ln>
                  <a:solidFill>
                    <a:schemeClr val="tx1"/>
                  </a:solidFill>
                  <a:effectLst/>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ln>
                    <a:noFill/>
                  </a:ln>
                  <a:solidFill>
                    <a:schemeClr val="tx1"/>
                  </a:solidFill>
                  <a:effectLst/>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920384951881"/>
          <c:y val="6.0185185185185182E-2"/>
          <c:w val="0.78456036745406821"/>
          <c:h val="0.84204505686789155"/>
        </c:manualLayout>
      </c:layout>
      <c:lineChart>
        <c:grouping val="standard"/>
        <c:varyColors val="0"/>
        <c:ser>
          <c:idx val="0"/>
          <c:order val="0"/>
          <c:tx>
            <c:strRef>
              <c:f>Sheet1!$B$10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D219-4E8A-B081-8C07AE4166C3}"/>
            </c:ext>
          </c:extLst>
        </c:ser>
        <c:dLbls>
          <c:showLegendKey val="0"/>
          <c:showVal val="0"/>
          <c:showCatName val="0"/>
          <c:showSerName val="0"/>
          <c:showPercent val="0"/>
          <c:showBubbleSize val="0"/>
        </c:dLbls>
        <c:marker val="1"/>
        <c:smooth val="0"/>
        <c:axId val="1328423887"/>
        <c:axId val="1328400367"/>
      </c:lineChart>
      <c:lineChart>
        <c:grouping val="standard"/>
        <c:varyColors val="0"/>
        <c:ser>
          <c:idx val="1"/>
          <c:order val="1"/>
          <c:tx>
            <c:strRef>
              <c:f>Sheet1!$C$10</c:f>
              <c:strCache>
                <c:ptCount val="1"/>
                <c:pt idx="0">
                  <c:v>Sum of Amount</c:v>
                </c:pt>
              </c:strCache>
            </c:strRef>
          </c:tx>
          <c:spPr>
            <a:ln w="28575" cap="rnd">
              <a:solidFill>
                <a:schemeClr val="accent2"/>
              </a:solidFill>
              <a:round/>
            </a:ln>
            <a:effectLst/>
          </c:spPr>
          <c:marker>
            <c:symbol val="none"/>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Sheet1!$C$11:$C$24</c:f>
              <c:numCache>
                <c:formatCode>[$$-2809]#,##0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D219-4E8A-B081-8C07AE4166C3}"/>
            </c:ext>
          </c:extLst>
        </c:ser>
        <c:dLbls>
          <c:showLegendKey val="0"/>
          <c:showVal val="0"/>
          <c:showCatName val="0"/>
          <c:showSerName val="0"/>
          <c:showPercent val="0"/>
          <c:showBubbleSize val="0"/>
        </c:dLbls>
        <c:marker val="1"/>
        <c:smooth val="0"/>
        <c:axId val="1328449327"/>
        <c:axId val="1328440687"/>
      </c:lineChart>
      <c:catAx>
        <c:axId val="132842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ln>
                  <a:noFill/>
                </a:ln>
                <a:solidFill>
                  <a:schemeClr val="tx1"/>
                </a:solidFill>
                <a:effectLst/>
                <a:latin typeface="Segoe UI" panose="020B0502040204020203" pitchFamily="34" charset="0"/>
                <a:ea typeface="+mn-ea"/>
                <a:cs typeface="Segoe UI" panose="020B0502040204020203" pitchFamily="34" charset="0"/>
              </a:defRPr>
            </a:pPr>
            <a:endParaRPr lang="en-US"/>
          </a:p>
        </c:txPr>
        <c:crossAx val="1328400367"/>
        <c:crosses val="autoZero"/>
        <c:auto val="1"/>
        <c:lblAlgn val="ctr"/>
        <c:lblOffset val="100"/>
        <c:noMultiLvlLbl val="0"/>
      </c:catAx>
      <c:valAx>
        <c:axId val="132840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ln>
                  <a:noFill/>
                </a:ln>
                <a:solidFill>
                  <a:schemeClr val="tx1"/>
                </a:solidFill>
                <a:effectLst/>
                <a:latin typeface="Segoe UI" panose="020B0502040204020203" pitchFamily="34" charset="0"/>
                <a:ea typeface="+mn-ea"/>
                <a:cs typeface="Segoe UI" panose="020B0502040204020203" pitchFamily="34" charset="0"/>
              </a:defRPr>
            </a:pPr>
            <a:endParaRPr lang="en-US"/>
          </a:p>
        </c:txPr>
        <c:crossAx val="1328423887"/>
        <c:crosses val="autoZero"/>
        <c:crossBetween val="between"/>
      </c:valAx>
      <c:valAx>
        <c:axId val="1328440687"/>
        <c:scaling>
          <c:orientation val="minMax"/>
        </c:scaling>
        <c:delete val="0"/>
        <c:axPos val="r"/>
        <c:numFmt formatCode="[$$-2809]#,##0" sourceLinked="1"/>
        <c:majorTickMark val="out"/>
        <c:minorTickMark val="none"/>
        <c:tickLblPos val="nextTo"/>
        <c:spPr>
          <a:noFill/>
          <a:ln>
            <a:noFill/>
          </a:ln>
          <a:effectLst>
            <a:softEdge rad="990600"/>
          </a:effectLst>
        </c:spPr>
        <c:txPr>
          <a:bodyPr rot="-60000000" spcFirstLastPara="1" vertOverflow="ellipsis" vert="horz" wrap="square" anchor="ctr" anchorCtr="1"/>
          <a:lstStyle/>
          <a:p>
            <a:pPr>
              <a:defRPr lang="en-US" sz="1400" b="1" i="0" u="none" strike="noStrike" kern="1200" baseline="0">
                <a:ln>
                  <a:noFill/>
                </a:ln>
                <a:solidFill>
                  <a:schemeClr val="tx1"/>
                </a:solidFill>
                <a:effectLst/>
                <a:latin typeface="Segoe UI" panose="020B0502040204020203" pitchFamily="34" charset="0"/>
                <a:ea typeface="+mn-ea"/>
                <a:cs typeface="Segoe UI" panose="020B0502040204020203" pitchFamily="34" charset="0"/>
              </a:defRPr>
            </a:pPr>
            <a:endParaRPr lang="en-US"/>
          </a:p>
        </c:txPr>
        <c:crossAx val="1328449327"/>
        <c:crosses val="max"/>
        <c:crossBetween val="between"/>
      </c:valAx>
      <c:catAx>
        <c:axId val="1328449327"/>
        <c:scaling>
          <c:orientation val="minMax"/>
        </c:scaling>
        <c:delete val="1"/>
        <c:axPos val="b"/>
        <c:numFmt formatCode="General" sourceLinked="1"/>
        <c:majorTickMark val="out"/>
        <c:minorTickMark val="none"/>
        <c:tickLblPos val="nextTo"/>
        <c:crossAx val="13284406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sq" cmpd="sng" algn="ctr">
      <a:solidFill>
        <a:schemeClr val="tx1">
          <a:lumMod val="15000"/>
          <a:lumOff val="85000"/>
        </a:schemeClr>
      </a:solidFill>
      <a:round/>
    </a:ln>
    <a:effectLst/>
  </c:spPr>
  <c:txPr>
    <a:bodyPr/>
    <a:lstStyle/>
    <a:p>
      <a:pPr>
        <a:defRPr lang="en-US" sz="1400" b="1">
          <a:ln>
            <a:noFill/>
          </a:ln>
          <a:solidFill>
            <a:schemeClr val="tx1"/>
          </a:solidFill>
          <a:effectLst/>
          <a:latin typeface="Segoe UI" panose="020B0502040204020203" pitchFamily="34" charset="0"/>
          <a:ea typeface="+mn-ea"/>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[Sufiyan_Malik_2.1.xlsx]Sheet6!PivotTable2</c:name>
    <c:fmtId val="19"/>
  </c:pivotSource>
  <c:chart>
    <c:title>
      <c:tx>
        <c:rich>
          <a:bodyPr rot="0" spcFirstLastPara="1" vertOverflow="ellipsis" vert="horz" wrap="square" anchor="ctr" anchorCtr="1"/>
          <a:lstStyle/>
          <a:p>
            <a:pPr>
              <a:defRPr lang="en-GB" sz="1400" b="1" i="0" u="none" strike="noStrike" kern="1200" spc="0" baseline="0">
                <a:ln>
                  <a:noFill/>
                </a:ln>
                <a:solidFill>
                  <a:schemeClr val="tx1">
                    <a:lumMod val="75000"/>
                    <a:lumOff val="25000"/>
                  </a:schemeClr>
                </a:solidFill>
                <a:latin typeface="Segoe UI" panose="020B0502040204020203" pitchFamily="34" charset="0"/>
                <a:ea typeface="+mn-ea"/>
                <a:cs typeface="Segoe UI" panose="020B0502040204020203" pitchFamily="34" charset="0"/>
              </a:defRPr>
            </a:pPr>
            <a:r>
              <a:rPr lang="en-GB"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Which Products are Popular?</a:t>
            </a:r>
          </a:p>
          <a:p>
            <a:pPr>
              <a:defRPr lang="en-GB" sz="1400" b="1">
                <a:ln>
                  <a:noFill/>
                </a:ln>
                <a:solidFill>
                  <a:schemeClr val="tx1">
                    <a:lumMod val="75000"/>
                    <a:lumOff val="25000"/>
                  </a:schemeClr>
                </a:solidFill>
                <a:latin typeface="Segoe UI" panose="020B0502040204020203" pitchFamily="34" charset="0"/>
                <a:ea typeface="+mn-ea"/>
                <a:cs typeface="Segoe UI" panose="020B0502040204020203" pitchFamily="34" charset="0"/>
              </a:defRPr>
            </a:pPr>
            <a:endParaRPr lang="en-GB" sz="1400" b="1">
              <a:ln>
                <a:noFill/>
              </a:ln>
              <a:solidFill>
                <a:schemeClr val="tx1">
                  <a:lumMod val="75000"/>
                  <a:lumOff val="25000"/>
                </a:schemeClr>
              </a:solidFill>
              <a:latin typeface="Segoe UI" panose="020B0502040204020203" pitchFamily="34" charset="0"/>
              <a:ea typeface="+mn-ea"/>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lang="en-GB" sz="1400" b="1" i="0" u="none" strike="noStrike" kern="1200" spc="0" baseline="0">
              <a:ln>
                <a:noFill/>
              </a:ln>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8156897054535"/>
          <c:y val="0.19269861598625473"/>
          <c:w val="0.56918139399241763"/>
          <c:h val="0.75047317002041414"/>
        </c:manualLayout>
      </c:layout>
      <c:barChart>
        <c:barDir val="bar"/>
        <c:grouping val="stacked"/>
        <c:varyColors val="0"/>
        <c:ser>
          <c:idx val="0"/>
          <c:order val="0"/>
          <c:tx>
            <c:strRef>
              <c:f>Sheet6!$B$3:$B$4</c:f>
              <c:strCache>
                <c:ptCount val="1"/>
                <c:pt idx="0">
                  <c:v>Female</c:v>
                </c:pt>
              </c:strCache>
            </c:strRef>
          </c:tx>
          <c:spPr>
            <a:solidFill>
              <a:schemeClr val="accent1"/>
            </a:solidFill>
            <a:ln>
              <a:noFill/>
            </a:ln>
            <a:effectLst/>
          </c:spPr>
          <c:invertIfNegative val="0"/>
          <c:cat>
            <c:strRef>
              <c:f>Sheet6!$A$5:$A$25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Sheet6!$B$5:$B$25</c:f>
              <c:numCache>
                <c:formatCode>General</c:formatCode>
                <c:ptCount val="20"/>
                <c:pt idx="0">
                  <c:v>65526.899999999987</c:v>
                </c:pt>
                <c:pt idx="1">
                  <c:v>51517.69999999999</c:v>
                </c:pt>
                <c:pt idx="2">
                  <c:v>36637.9</c:v>
                </c:pt>
                <c:pt idx="3">
                  <c:v>23579</c:v>
                </c:pt>
                <c:pt idx="4">
                  <c:v>15958.099999999999</c:v>
                </c:pt>
                <c:pt idx="5">
                  <c:v>20737.599999999999</c:v>
                </c:pt>
                <c:pt idx="6">
                  <c:v>16244.9</c:v>
                </c:pt>
                <c:pt idx="7">
                  <c:v>18259.300000000003</c:v>
                </c:pt>
                <c:pt idx="8">
                  <c:v>14225.499999999996</c:v>
                </c:pt>
                <c:pt idx="9">
                  <c:v>15491.400000000005</c:v>
                </c:pt>
                <c:pt idx="10">
                  <c:v>15089.999999999995</c:v>
                </c:pt>
                <c:pt idx="11">
                  <c:v>7255.300000000002</c:v>
                </c:pt>
                <c:pt idx="12">
                  <c:v>8267.2000000000007</c:v>
                </c:pt>
                <c:pt idx="13">
                  <c:v>9612.6999999999953</c:v>
                </c:pt>
                <c:pt idx="14">
                  <c:v>4965.8</c:v>
                </c:pt>
                <c:pt idx="15">
                  <c:v>7367.1</c:v>
                </c:pt>
                <c:pt idx="16">
                  <c:v>5668.8999999999987</c:v>
                </c:pt>
                <c:pt idx="17">
                  <c:v>2640.7999999999997</c:v>
                </c:pt>
                <c:pt idx="18">
                  <c:v>1235.3</c:v>
                </c:pt>
                <c:pt idx="19">
                  <c:v>426.2</c:v>
                </c:pt>
              </c:numCache>
            </c:numRef>
          </c:val>
          <c:extLst>
            <c:ext xmlns:c16="http://schemas.microsoft.com/office/drawing/2014/chart" uri="{C3380CC4-5D6E-409C-BE32-E72D297353CC}">
              <c16:uniqueId val="{00000000-D16B-4719-8D89-861178EB5247}"/>
            </c:ext>
          </c:extLst>
        </c:ser>
        <c:ser>
          <c:idx val="1"/>
          <c:order val="1"/>
          <c:tx>
            <c:strRef>
              <c:f>Sheet6!$C$3:$C$4</c:f>
              <c:strCache>
                <c:ptCount val="1"/>
                <c:pt idx="0">
                  <c:v>Male</c:v>
                </c:pt>
              </c:strCache>
            </c:strRef>
          </c:tx>
          <c:spPr>
            <a:solidFill>
              <a:schemeClr val="accent3"/>
            </a:solidFill>
            <a:ln>
              <a:noFill/>
            </a:ln>
            <a:effectLst/>
          </c:spPr>
          <c:invertIfNegative val="0"/>
          <c:cat>
            <c:strRef>
              <c:f>Sheet6!$A$5:$A$25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Sheet6!$C$5:$C$25</c:f>
              <c:numCache>
                <c:formatCode>General</c:formatCode>
                <c:ptCount val="20"/>
                <c:pt idx="0">
                  <c:v>42922.100000000006</c:v>
                </c:pt>
                <c:pt idx="1">
                  <c:v>42448.80000000001</c:v>
                </c:pt>
                <c:pt idx="2">
                  <c:v>18378.100000000006</c:v>
                </c:pt>
                <c:pt idx="3">
                  <c:v>20907.899999999998</c:v>
                </c:pt>
                <c:pt idx="4">
                  <c:v>17923.5</c:v>
                </c:pt>
                <c:pt idx="5">
                  <c:v>8644.8999999999978</c:v>
                </c:pt>
                <c:pt idx="6">
                  <c:v>13831.999999999996</c:v>
                </c:pt>
                <c:pt idx="7">
                  <c:v>11586.300000000001</c:v>
                </c:pt>
                <c:pt idx="8">
                  <c:v>8705.9</c:v>
                </c:pt>
                <c:pt idx="9">
                  <c:v>6208.1</c:v>
                </c:pt>
                <c:pt idx="10">
                  <c:v>6977.3</c:v>
                </c:pt>
                <c:pt idx="11">
                  <c:v>11228.900000000001</c:v>
                </c:pt>
                <c:pt idx="12">
                  <c:v>6150.8</c:v>
                </c:pt>
                <c:pt idx="13">
                  <c:v>6373.0999999999995</c:v>
                </c:pt>
                <c:pt idx="14">
                  <c:v>4991</c:v>
                </c:pt>
                <c:pt idx="15">
                  <c:v>3362.3000000000006</c:v>
                </c:pt>
                <c:pt idx="16">
                  <c:v>3198.4</c:v>
                </c:pt>
                <c:pt idx="17">
                  <c:v>3242.2</c:v>
                </c:pt>
                <c:pt idx="18">
                  <c:v>2420.7000000000003</c:v>
                </c:pt>
                <c:pt idx="19">
                  <c:v>1393.4</c:v>
                </c:pt>
              </c:numCache>
            </c:numRef>
          </c:val>
          <c:extLst>
            <c:ext xmlns:c16="http://schemas.microsoft.com/office/drawing/2014/chart" uri="{C3380CC4-5D6E-409C-BE32-E72D297353CC}">
              <c16:uniqueId val="{00000000-2F6C-4B61-A299-E2DB2822B877}"/>
            </c:ext>
          </c:extLst>
        </c:ser>
        <c:ser>
          <c:idx val="2"/>
          <c:order val="2"/>
          <c:tx>
            <c:strRef>
              <c:f>Sheet6!$D$3:$D$4</c:f>
              <c:strCache>
                <c:ptCount val="1"/>
                <c:pt idx="0">
                  <c:v>Other</c:v>
                </c:pt>
              </c:strCache>
            </c:strRef>
          </c:tx>
          <c:spPr>
            <a:solidFill>
              <a:schemeClr val="accent5"/>
            </a:solidFill>
            <a:ln>
              <a:noFill/>
            </a:ln>
            <a:effectLst/>
          </c:spPr>
          <c:invertIfNegative val="0"/>
          <c:cat>
            <c:strRef>
              <c:f>Sheet6!$A$5:$A$25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Sheet6!$D$5:$D$25</c:f>
              <c:numCache>
                <c:formatCode>General</c:formatCode>
                <c:ptCount val="20"/>
                <c:pt idx="0">
                  <c:v>3173</c:v>
                </c:pt>
                <c:pt idx="1">
                  <c:v>1788.7</c:v>
                </c:pt>
                <c:pt idx="2">
                  <c:v>1304.5999999999999</c:v>
                </c:pt>
                <c:pt idx="3">
                  <c:v>2266.7999999999997</c:v>
                </c:pt>
                <c:pt idx="4">
                  <c:v>894</c:v>
                </c:pt>
                <c:pt idx="5">
                  <c:v>656.7</c:v>
                </c:pt>
                <c:pt idx="6">
                  <c:v>558.1</c:v>
                </c:pt>
                <c:pt idx="7">
                  <c:v>216.79999999999998</c:v>
                </c:pt>
                <c:pt idx="8">
                  <c:v>606.79999999999995</c:v>
                </c:pt>
                <c:pt idx="9">
                  <c:v>1415.4</c:v>
                </c:pt>
                <c:pt idx="10">
                  <c:v>537.70000000000005</c:v>
                </c:pt>
                <c:pt idx="11">
                  <c:v>1310.3</c:v>
                </c:pt>
                <c:pt idx="12">
                  <c:v>222.8</c:v>
                </c:pt>
                <c:pt idx="14">
                  <c:v>670.80000000000007</c:v>
                </c:pt>
                <c:pt idx="15">
                  <c:v>295.79999999999995</c:v>
                </c:pt>
                <c:pt idx="16">
                  <c:v>109.80000000000001</c:v>
                </c:pt>
                <c:pt idx="17">
                  <c:v>90.4</c:v>
                </c:pt>
                <c:pt idx="18">
                  <c:v>828.8</c:v>
                </c:pt>
                <c:pt idx="19">
                  <c:v>86.8</c:v>
                </c:pt>
              </c:numCache>
            </c:numRef>
          </c:val>
          <c:extLst>
            <c:ext xmlns:c16="http://schemas.microsoft.com/office/drawing/2014/chart" uri="{C3380CC4-5D6E-409C-BE32-E72D297353CC}">
              <c16:uniqueId val="{00000001-2F6C-4B61-A299-E2DB2822B877}"/>
            </c:ext>
          </c:extLst>
        </c:ser>
        <c:ser>
          <c:idx val="3"/>
          <c:order val="3"/>
          <c:tx>
            <c:strRef>
              <c:f>Sheet6!$E$3:$E$4</c:f>
              <c:strCache>
                <c:ptCount val="1"/>
                <c:pt idx="0">
                  <c:v>Unknown</c:v>
                </c:pt>
              </c:strCache>
            </c:strRef>
          </c:tx>
          <c:spPr>
            <a:solidFill>
              <a:schemeClr val="accent1">
                <a:lumMod val="60000"/>
              </a:schemeClr>
            </a:solidFill>
            <a:ln>
              <a:noFill/>
            </a:ln>
            <a:effectLst/>
          </c:spPr>
          <c:invertIfNegative val="0"/>
          <c:cat>
            <c:strRef>
              <c:f>Sheet6!$A$5:$A$25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Sheet6!$E$5:$E$25</c:f>
              <c:numCache>
                <c:formatCode>General</c:formatCode>
                <c:ptCount val="20"/>
                <c:pt idx="0">
                  <c:v>16015.5</c:v>
                </c:pt>
                <c:pt idx="1">
                  <c:v>17138</c:v>
                </c:pt>
                <c:pt idx="2">
                  <c:v>1073.4000000000001</c:v>
                </c:pt>
                <c:pt idx="3">
                  <c:v>2802.2000000000003</c:v>
                </c:pt>
                <c:pt idx="4">
                  <c:v>464.9</c:v>
                </c:pt>
                <c:pt idx="5">
                  <c:v>2013.6000000000001</c:v>
                </c:pt>
                <c:pt idx="6">
                  <c:v>973.10000000000014</c:v>
                </c:pt>
                <c:pt idx="7">
                  <c:v>774.40000000000009</c:v>
                </c:pt>
                <c:pt idx="8">
                  <c:v>1668.3000000000002</c:v>
                </c:pt>
                <c:pt idx="9">
                  <c:v>1549.7</c:v>
                </c:pt>
                <c:pt idx="10">
                  <c:v>383.6</c:v>
                </c:pt>
                <c:pt idx="11">
                  <c:v>375.90000000000003</c:v>
                </c:pt>
                <c:pt idx="12">
                  <c:v>2027.4</c:v>
                </c:pt>
                <c:pt idx="13">
                  <c:v>330.6</c:v>
                </c:pt>
                <c:pt idx="14">
                  <c:v>636</c:v>
                </c:pt>
                <c:pt idx="16">
                  <c:v>1728.4</c:v>
                </c:pt>
                <c:pt idx="17">
                  <c:v>315.20000000000005</c:v>
                </c:pt>
                <c:pt idx="18">
                  <c:v>112.19999999999999</c:v>
                </c:pt>
              </c:numCache>
            </c:numRef>
          </c:val>
          <c:extLst>
            <c:ext xmlns:c16="http://schemas.microsoft.com/office/drawing/2014/chart" uri="{C3380CC4-5D6E-409C-BE32-E72D297353CC}">
              <c16:uniqueId val="{00000002-2F6C-4B61-A299-E2DB2822B877}"/>
            </c:ext>
          </c:extLst>
        </c:ser>
        <c:dLbls>
          <c:showLegendKey val="0"/>
          <c:showVal val="0"/>
          <c:showCatName val="0"/>
          <c:showSerName val="0"/>
          <c:showPercent val="0"/>
          <c:showBubbleSize val="0"/>
        </c:dLbls>
        <c:gapWidth val="9"/>
        <c:overlap val="100"/>
        <c:axId val="600563327"/>
        <c:axId val="600568127"/>
      </c:barChart>
      <c:catAx>
        <c:axId val="600563327"/>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68127"/>
        <c:crosses val="autoZero"/>
        <c:auto val="1"/>
        <c:lblAlgn val="ctr"/>
        <c:lblOffset val="100"/>
        <c:noMultiLvlLbl val="0"/>
      </c:catAx>
      <c:valAx>
        <c:axId val="60056812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6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data id="1">
      <cx:strDim type="cat">
        <cx:f>_xlchart.v5.5</cx:f>
        <cx:nf>_xlchart.v5.4</cx:nf>
      </cx:strDim>
      <cx:numDim type="colorVal">
        <cx:f>_xlchart.v5.9</cx:f>
        <cx:nf>_xlchart.v5.8</cx:nf>
      </cx:numDim>
    </cx:data>
  </cx:chartData>
  <cx:chart>
    <cx:title pos="t" align="ctr" overlay="0"/>
    <cx:plotArea>
      <cx:plotAreaRegion>
        <cx:series layoutId="regionMap" uniqueId="{B313F087-5791-43CF-A1B8-267C5AB9562F}" formatIdx="0">
          <cx:tx>
            <cx:txData>
              <cx:f>_xlchart.v5.6</cx:f>
              <cx:v/>
            </cx:txData>
          </cx:tx>
          <cx:dataId val="0"/>
          <cx:layoutPr>
            <cx:geography cultureLanguage="en-US" cultureRegion="IN" attribution="Powered by Bing">
              <cx:geoCache provider="{E9337A44-BEBE-4D9F-B70C-5C5E7DAFC167}">
                <cx:binary>7H1Zc9s4Fu5fSeX50o2FJMCp6akakJIs77GzdPqFpdgKd3ABuP76e2Q7GYuSM/St6GFUV+l0t00e
6JAfcHYc/PO++8d9ul5V77osleof992f70Oti3/88Ye6D9fZSp1k0X2Vq/y7PrnPsz/y79+j+/Uf
D9WqjWTwB0HY/OM+XFV63b3/1z9htGCdX+T3Kx3l8kO9rvrbtapTrX5xbe+ld6uHLJJepHQV3Wv8
53t3lUbf80pGq/fb18if7y/X8iG/j2T+zs1rqfv379ZSR7r/2BfrP99vjUTev/tj/IU7zL1LgX9d
PwAxdU6w6TgOYxg9fvD7d2kug+fLBib0hCBmU+qwH197tcqA8k1MPbK0enio1krB4z3+d98QW88C
L+XfU17G/ealbJAIAJQ/33+SkV4/vLvTK71W799FKn98a1Xv5psn/nT3+Ir+2MbyX/8c/QJe2ug3
L+Aev+H/dmkb0f+C9mmdfcvTB/37wTbRCeM2Nk1ij1E2T7CNKeKEw2SAzzbWb2FpP9Q7I0xAeofm
yIB2c5i2K4BZ6c2/f/fK5icIA5qUsidI+RhzcoKpyS2G4cqTQHla2W/laz/ie0eZgPpeuiND/m4l
AXKxqr6tHifA74bePDEJ4jZz8BP0sJy3hDp2TmyHUxNT++mG7QnwZvb2z4D9w0yYAvsJj2wO3KQ1
mB8HWPfOiUNtZhH6DD7o7S3wCTpxTO5YDrW2YZ/O0X68R/QTgB5RHBnCi3Qt5UEAtgiysLOrxUGi
OxwzaoEZ+FKiT+ZkP7Db5BNw3SY4Mlhn6Tsvr1YPh7DG+Qkjjg1r91lujwU3rF3Q5hi0tv3DWn+J
85tY24/17hAT8N4lOjLM3Tyt1SGMNAe8K4dQG1tP7hcs3G1hTU4Q4qCmzZGwns7RfpxH9BNAHlEc
GcL/TsGrfTgExOyEIxMcK/t5Ue/oY3JCGDGZPRLab+BoP8TjASZgPCY5OpCLSK4PoJI52NPUglW8
iaXAZ+xrgcHN4GNZzNzWzP9Op3L0GsZb9JMg3qI4MoSvVsUh1jA/IQ6sUUyeo2R0V0xD5MREFh8t
4qn87Ed3i3oCtlv3Hxmy/87A5KoOsnYpCF9EOCzNbd0LxhYjxKHI2WdsTWdoP7gj+gnwjiiODOCP
NRhZ2UHEMztxOHFM03wCEu0EudEJ5QRjTmBhvzSo38LTfpR3RpiA8w7NkSEtaq0PoYWdEwvyFSCF
X9HCBJ9YlmljEOPbME9maD/G2+QTAN4mODJ073KZZ4dRwiZ1bNDD7MlX2qOEGbZs09xI8pereDpH
+/Ed0U8AeERxZAhDrnLVrKuDRC85hLBsggl7BnnHIUYnNt+4zCbksF6C/Cam9uO8O8QEqHeJjgxt
b52+u8ohA/77bS8TnzDLBCNrk6jafHZ8YxPiIyYF33hkV7+Jqf1o7w4xAe1doiNDG3Iv7y7qSL27
/hap4hAxTuuEcGJjyEE8ifE9xpgN0U3Q0qMs9P8Da/uRf22gCfi/Rnp0s+C+gniY1IeYAPzEYhAu
AfxfWfT4xHQ2f8CU23xGxtrd6i28vTYDdsaYBP4O1ZHhfpOu7teHcbK5A+loyDs+Lfod2w2fIGZS
jMjTnBgt/el87cd7RD8B6xHFkeE8h0Ksg5ST2SeMYtuy8OuVB4xb8AeP8hnTOdqP8Ih+AsIjiiND
+DMI7/pAxSWEQ0oKvVZXBLFuiJlhZKNRXdEbWNqP8XiACSCPSY4M5WVWrKtolf5+05wSyDQTbm1k
8uNnLLGxdWLBQrcwxE43n5GWfgtn+9HeGWEC3Ds0x4a37A9hkdmQoiRQVMKeA2fjsgO88cod2+Z8
tKSXE/l5BeGX1FPQfXn/kSF7vq4OUStknVD2GBF9WqQ7kW8Q1psqUUzJqLx7Kj/7kd2inoDs1v3H
hixsJDhEnZ99AqBBUtK0fprMW+mrTZEnXINg9xjaqQy9gu0W+RRwtwiODN2LVXKAwBhsy4CwF2YI
ko+Pn50wKDlxsIVtzkZh0Kn87Md2i3oCtFv3Hxmym1CPWMNmkgNpXItsslWvLF5IVZmIINisMcL3
bVztR3nPGBOw3kN1ZIhfrJRaH0ALw74bE0qDuEOeFjMa29JQ1mnDZRNK9reTGtM52o/0iH4CyiOK
I0N4M4fP8lVZRweAmUKZgQX5DAKbLx4/OzBj8IxBYTvOU7XnyGV6I3P7Ed83yATY95EdGfYXuXr3
bxms0/UhrDHzBFmEUP7DGtupAIQSMpNCpREo9c1nhP0bmduP/b5BJmC/j+zIsIfpvdljV9XDASIl
9onDTGwi/LyZagw9gRpuwiHb5ezq8jdwtR/zPU82AfI9VEeG+OXqASoUDoO2DWYbYc8V+7CQt9wu
0OXIhuSWiUc5jOkc7Ud6RD8B5RHF0SFcHUqLMxP0OHqu19+znC2KN7srR8Gwy9VEhl7D9yX5JHhf
EhwhukV+kD037ARWJ6xf/mymjVcwBE4c22Qc6syeIivbNvkG5qmcvY701ggTwd6iOTK8P67D1SGq
BsH3ggyFDcbZKxlJ0M5QTAZ+Nn6aDiPDbDpf+7Ee0U9AekRxZDhfrqt76M7h/vZ2B+yEItuxuf1c
SrYjtsEJ59gB+3tvVcl0vvbjPKKfgPOI4thwzqFlze+HGSoGoYgfNq//MLbBpB6bX+CBQwU4Bu/7
ZX3o5VSGXsF3i3wKvFsER4buxzpdVYeIe0NSg6KNJH5lp8ZjcQGkIbE1gnc6R/vxHdFPAHhEcWQI
X0IV/+9fvhSiILAJ8qeQ3in43eALvrIDptd4+U7jZz+6W08zAdut+48PWb2u1v0B0LVPbGYzRtFr
OzTwiQ0bNGw63usM73syT68ivD3CNJS3aY4M6at1szrIlnZYpDZhUAP2HAPZE+hGUOANWngU8ZrO
0X6UR/QTMB5RHBnCd5FKoj6vf/9a3mzNoBh85B9tC8Y1QeA32bDl3YJg17akfgtP+1HeGWECzjs0
R4f0ujpIPBM2TdoIdr/yJ7doX24SLkI3Mb4/aRVN5es1rLfoJyG9RXFkOF9XK8hR/f71TCnUc0L9
Pbdf2RyLoU+JBVvd7XFqajpH+xEe0U9AeERxZAh/rb8dIi+xaeSKoRwXTOfHz07FEGx+hmohDtbX
tryeys9+dLeoJ2C7df+RIbtJos9h/d5H6j7/8ZJ/R5NeBn1bEWLg9+4v9QNdDDUHoK3pyGva4miK
UNkP8v5hJqC9n/DIYL+NYDO0ih4OI7UdjixKn8t3d+t3IewJW6WhxnOE/JuY2o/67hATEN8lOjK0
N1NaQLH2qno4TEduaMUM22swh0DY42fsXIGihl4mCLbT/RAxT217387YfthfGWcC9q9QHuEE8KJ1
cIjwGGy6wZB6ho03o7A2gI5tymFWPBeM7mI/mafXYd8eYiLi20THBna4Okh3bkhLQi84QJS+Zq4R
aEkEggAc8BHUkzl6Bedt+ikgb1McG8Igzy/hqIBDLOfHSgPGoDXgk922094Ccs+EwwEM5ijrvJGk
k5l6BeedIaZAvUN0fGhvSu4ge3UIHwyMMajwhD0br+Wg8ckmdwWB0dHuZ8D7LWy9ivjOINMw3yE7
NtTzdDUtffTG01M26SwIqmxSHo+fcSnRpvTTdCBytrONYzJHr2C9TT8F5m2KI0P4a54eQoBDX1cG
m2KhpdzIHoP9OXCBYTg1ZVs9T2VkP6xb1BNA3br/yCCFA3xkpNJVfYhyfQYbbhA0yrdf218H/UjQ
pmCfjYo838bVfpT3jDEB6z1UR4b4R6hnhWOtpsSp3ianNwcfwWZZ8KyeS/T3GGKbRQ7noYyW8xtY
2o/1eIAJQI9Jjgzlu033z0P0GIIIOCUEegc+V3qOfWiQ2fZGXe9kpadztB/jEf0EiEcU/wMI/5rF
rUfenG/27x9acU/4+61H1EG8C7q22nCY0X4ja7PRHUNXUMh/7KvXhgaNP0/WeyoI3MfTfmRf0m49
49Mj/vqlHObkuddPpft5zp+30qvZ4wmBLw6m+/XVx8eHsw1HpM8VlPte2POl5cOf7y1wb1+Auhlj
q/Ty5Vt8QuA/VGuIr/z53sAYwp6b3XMIWj1a0CAKBmzXT5cIHGe1qTQBjc1hFmx8ZQn9KMM/35tg
XuNNNRnaQA9dJGHJq7zeXIL+NRA251DGDzEU0OIO/nl+402e9kEuf76Q55/fyTq7ySOp1Z/vMXxH
8XTbI6vIcqA+HLbb22DpU9jhCfZgcb+63XQ2gLv/jx5oXpR13V3JljqzpvXDQuQ0ZombsLb5YBtW
fxZ3jUxmCCX6q87N5lNiqq4UypHllxdvbx83oK7G3EAAGLo/QC0zHC2xUVovuTFlXyROWDdXpJT4
KkgG6Yua5Xbodo3OHdG0Zv2VNYURiSrjunTLuEoC4Q+KmS4U38kHR2t0DWOEtUfSFH8aLIPjRW9b
/hr3Bu7mv+aYQAfeHY6hNgy2QMMWWThmEI04jlgI2Pb6inZWEHh2N6SfGvCc6FyzPrdE03c49iLm
czEwu49EnyC6yJqqx17V5Poh7JTCbmQUlqfgcM5G6CxEjWCVlQSzII/Dm6R2zjLlhMqDkJvzWYXl
eZK2VjeLlGFfRlXYZItfP9UuDNCyDkGbJOhPCtHZx4d+MSlYbwStUaTqSmrf+ZwHHBNhJgSmRiHr
7qbtKueu8HH616+/djPXXs5FKGGHM/sYhSa4sEeJ0A1bL77WQl1gFiqQV5IP+AonYX0lVeVG3A8/
//qbYPnsfJMDbQgY7EyHxDIfzbNCmv1QVmF+xQtkrso2r9KFr3lPRFKEM1TW6eBS1PPcjanVZv9t
0mwmxfaDwkSBvkQmNPuF0ynHXw9edxQGMouuWJlYqyyurVWSbniwhkzN7CrPRY8A+kWbli0RZZKz
tU4dtWyd3rzobFohl7Zxnrgxk9knWhWEeiHv+3VhNIWHjCFjruXkZnVqUXuoxa/f3qal3Zh/thEb
cHwPnO8CfuQ2UMiuLWlZvnGJaz9bRZVWgcBGoqUpaN/L4KwNo+RbwJ3iohvKcG7nZhe5BDfsu2bD
kLt9GDDXzONmHVWUPTRWEbKzXzNpWjsgU5PCJNpYxhCJtBjkm15OJ7viEapCTS9jsyx8h3vaCYdF
pzvqzHVT127VlehDk/VWLcIwZG6F5UKRqlikZkHcJC2z2yK1sk6wtA2+tHGWL3ultSissvhkq4R7
fil9t87jOBKRpnEr/FjJq7Yw1HVpDHQWBNiJhTH4MnNJE2anlq3TWxIHN0EvaSfSmpVX2i8/apIZ
1LMbAi8y6gnIBrMeBoFaHl+kocW/+qg2z0Kb44sh6BrHbVFoZnCyUR8tDV71mWh7Pni4tQxviLv7
QpX6rkYGC0WbaTb3VVkvTZ+Qj2WI22ThMwNHYggT/xtE/apGRLI0/q4zlnlFocgyyWWxxKWTPkRN
YcO6p1lyFzl+x0RTmsFZ5Ve128N7WGCTONdlm3Uzs63KOcYdbmYpHM4ZuE0b8NJtSOjPMkUrry6c
69A3AuRhnOtTUDWkdSWKbcE1S//qMhSek8op7iyqrUXtxAaZKzsbVtzOq5lCXTzMm4QHc6Pr0Iqo
tP2ugqKw3IFoVAsZkCaYdzrOYXG07awPmprPq9wPvVTT7FTCrQI2yFU5vOisYSJWcWy4zG+ZYLnV
DcLUqe9SbchsUdnJLDDrHn1oKTbhvOMKpSKGmaTnVLeOWnSUdRd2Mgyp/6FuS51loo/SXlYPoR8S
MnxVrdGxLBROBaI8vyd9FmtaQQf9ui7QlU50lnRnTlQOi8aptb/MqigqREzS/A4xgy7jntLarQED
X/QlcjqAK+Pck74P+lCnSVvO7KQNkFulGvvXYYlslp8mPWtDr+9SR1/YSlOYUa2fY9W6NejCuW2E
sX/dwNKxA7fkBYcJRxOVzWUaVY5IS1Be/qxrIts1fLBcLdH7SJpw1qufZW7o1K0/b1OWZjPlg1Uw
t2SQDS4fLJCYkiRm7WZhZaSiUX2gblRkZNksDyL+3agbFiEP5UQvIpPX/Moy/MA/k5RpZsWu7FQ5
9KcKyjKrcFYEIctmvmqGcu5USkbzPrWz/hQplRWuRfo0clln9emiisrIcAFW8sUosgF7UHOQZB78
RcZ1GiNDwSuX8kucZU62pJWj01kSavt2qDWl89jICT4P21AxKVhIQr3wq6aQd6CM6VkcDCSZ1wVw
MMt1GgwzjrvBcXncF+1lxnuY2gYslcrzMa7PKmpZqRf4NKg9JhuAM2IK7BM5xHRYpwmcAuBxYCDz
aJ+F5RKjyDwNIpbYLkmSknpRHvneUPuJJYy2Kpyb2G9j06VRGQ8iK+LBOEd+as5x4QcWsOuwYob7
cMiXYYTbYJY4ZtiKzX0CO5EjYfoEtHS7NjIGobvI+LuCVnS9ISJYR+QKDzIaIsEb06Af+7Ql9ZVd
OH3uSafUl1YtQSUFiiVA4GQU3pYfhVh+HXAqw7Oyz9JurlpriM6xDvRHMybWyur8zBccw+Sd17Jj
dKbsIQLmaxxnXkrLRLm89WcRjsqvaduCZREHcXOnLLv9VlQhPW1YG/gznliICMl9GMdK87iby6rB
V0NXUPOD0hb+iLUBd7S2obircc+6WUOyODqtOkLapWSBIteRwZzPEpWbyRnHpVqwVIXqputNzV1U
toBN2EpgLFcgdM9BgzmfKUcwuzOQkpUH++66fKmV45ObuKqT5JZw6ZjLzozb+lJ3emN8hn13YyWG
3c3yNoOvzvNhaERHMj0sUMI2D79hvQX5BHwVGb4yLQlPUZcWvKowyZPBdZIGlk6RBkn0QVYMlnxV
g1UQwDWQqUTL8LrEZl9JQYsQAdxt1dWXmREWSkSoLrt5B3sX6KxvSrIRGrCYXHgiECCdgzd2spbZ
Zx+OZzzjTRRxwUMrgXnRB/aqlRTY6Kq4v6W6Q+o8ADM3Ps8LmcR3HLTFQkmEr0onKL9Caye7FKEZ
RuQs54FTn/thHjReX7GyBQO3p4uCwGt1ESv7+yRNrJuuVig/LVHfJF9aOwvUaeYb2fd+cDYyJCrT
0AM/gNNZRPpQzQs7c74YyM/mWVsEpWAmiLm+asPbKNfq3MmS2PIsUpEAxB604BdNSJzPVWw0wSwl
EpbJYPjUWZoyx+U6A4Hcn8HJorA22o3EnsWWAW+0a4ZmBkqmLc9xVRPb9Z1UN6BpaYPA9C7jvyun
cT4aPZjpZ4OjK/ygleyVyDBmzTJqCQzVZTgcXLMN7GBZACytaySOPR/yptGXXc/Su7hRpeBMnZpZ
11inQ2sDOAnCalgUaZLnl9LuzAtDIzOfhaXMmvOgb4vQ5ZbKwo9giagH5EgQIyA6VSOSULVKOG3D
S9ACfXmXBiWO/sL5QHkjBrDA+k+FpoYDgym/moXMSIIzwy/ab2GAjMZNmbKTZeQg/KFThj8sqrpU
0SwaapikEdExvemSdLCuMrtIU1EWDbIvTRyanduDdaNmbVgAai2XUSCqgWUgO5RKZ7ijXeU1KeHV
YuAlzP7E7ALm9X6PlOsXyi6/tFaPP8ZhBXMNNJ3zGeZ6pm6kIzEIWFI48Zxnod2Krv5KeN1yLJKk
YZ8sIsvWa61Am5emn/LmtvSVU4Fyhxk9KyIKaILj0HcXEdVJfsGqIqQ3pEOpvfS73IHn6jojuEwq
o2i9TPkgM8Aaq/VlmvrAf+UkwVyFPAm9tkNo2ZcmrPvetlkkTD9kl49W6XPs4ubJyH9ywO/zoq+i
INSjH//1Mc/gn39uaH7e8xim+M9Pl9F9lav8u/7lXYt1vqmQUuObtkaGb3/mbhO+2PphJ5TySrDk
dq3qVL9y8fVIys+TLTaRBmi2Sy0Ic70w4nfCKU9nBv4IsG1T/QynQFm/CeeKwrlmsE+HbKr6f4ZT
oEEJgxgLHIX0GDQBr+Q5nAK78+C4eKg7s6gFeWqbAWs/wikcuk1Ct0GoTYK2GLBd/m3hlB2nAzaW
EHCcKVjiwCfe7Ad76XQEFWvjmPL02sDl1yDSIBXr9BvurWWKMylie3BVVc+YlQnUsPlAgwunL69a
noEmabNymUVlJurAcCtWk3lgoTnK6V0bNWTGWV67TdBfIO17tpGDeYH154iTwk1xehFaZeo2RnWa
JmqV2V0gamw++CRSbmFkgRtY3XnHm4ekxqXLE9R7iNKZ3TeWwL0cZqg2Uq/KrM6DBahdVju1a/bI
dnUu+7nM+xvSW5ZHgvS87iwqYAn+RcGd8kAyPuTIPgNPu/DKThYiaFQisoAKKwTvUzLnZnDwl8Yf
AhHzKAF3y2hFyjT8aMeROwQFEVkW+IL5Sxroec9yX5QgmwRpu89DGFxqJs8LvzgP4ZlE3keVyAi5
baPEa4IgmyWSXPqYfPT7VM8bOI5NwEENEEtRDbhricGFadLTjPaR6/PiC7cqw7VRH9SBazVlFNxp
Ehd/g0HwuR/M9lxzdV1QrRYpbsHqL6u/uwCkvkwWWdHawqytXJhtn4ua+kSEPr8MA/KZloqKOmqv
DdgpOEuSevCINQSzwQGFG1SOsTDy+pYa4YOV+vkCjA8Xg0lxntsr3a3A7pqbhb1SPc0XdYUWcHBv
MKuKNss/OziUdylKi2QdBcND24W3A0V6xuoiZyKpQs5XFY6vfJjfS6QlOu00ya9J5TvXZuars97x
XdOpZ7Jl9qmu+ligEEVuaDr9FY0HkHVRnrULcNu+tLL1WJSFl7TL1yDKySnKA6cUlc3D4SmQ8Lul
4f+anNtsRPm1nHs8kncs6J7Ifgi6TaPMTdMHDq4Lh5OCIAbzU9BBCR2DEDAsTxCAmMClH4IOOvVB
XQZUTpsANYSc4dIPQQc1W9D0HHZKQAsYOIMEDh76IdG31BbEyp9/3o4b78QI4bxu2CwJthO4VtDO
dRRC411QOjUP6+s40sUZTx3zspLdOZdp6Vp19dnOMq+MdXIqc5YO6zBXpfGh7nvwZYfIBTcq/eCE
hRQ66T/owDzLVZbPyxSWPB56iH8m2FhEaWMKswjnQdKES3CykRsUvinADApC12lKOc9YkdZ3fVB8
dUJYkIbNwC8CTyd2C6LMs6YzhjOrkF3ouz3vo7M6Tbye+MapNqrvgSMHCL0if9HjHIJAOHGWaR00
nwuH83MS2cklpxJiHNFdUdOwmPGsR/MC88hrKgN5rHGkl9OBemkaEUFsB8wi7JwnrNKzMsCupYme
W11xxa2wEQ3NHRBOQycMX4PrFMr2tGrVFVbKcbUsv1ZtcNHjdhaCbCaKXCIzOG8HHQodF7WIwOQD
8cndtlawlAFhEfgGSIFKB9/9Nrf/7oe48eelVYYCYj/glocKnzpVfRsm9I7HSNbLwg4N/SHCsjyF
6I0ry9A+La1eyTtbI6cSYe2zRlDmmwuK2yYWlm99T/y6XW62ay5qmSTekMmbPlZXtlmcyTS8KhE5
59qY56o9MzLbywcwqUopUDy4VlQ8tJLcRtr5ehBT6n9NeEBJFeQY/vixNneMpLvHfYlj2fFE9VN2
gCWEMMUwS6EZL4UU0X9kB9R/gI3CKOyBhcic/cJI2hzlDJYQVGKDboTKTmDjh+xwTmAQaF8AlQaQ
DYA89FtkBzQGHcWPwS8jm1Zk1AKHcXMO7baRNNAwC0keoWvwtSPhZ0M8s/HfeQDejhgsH6xyW15E
vIE53zrkoi3g9xVh1zaW13VZzG0e3KZ1/bdSg4t6o1uoJPxLVtaiLNgtlfyygPiFUOwrhikq0k7P
Bpaca4spESirESSoPxWd/AgrohS1g1K3LLH2UFR89ePIsy1ybvUxxADK1QBKD8fDX8Q0Sjfr9Flo
yZnTxcxNhuhU1WCsxXL4CwfstA2TyDUTfdOx8GucyU8Dzy+cuPzLtEkmEot8N1r5pazqzwnOIKFS
W3MwCuYDG24iJ2ECnmwBflDttiBVeKRtQX2egEnULiExJBKjBzNCmgtWGvNKNVz0Gf8M+YFOFLpn
y6FOMIT6zPMYpZC3aI1Tu41MCCdX/mlt9AuIwS8hBC/awr5ti/q211n1KbX6VVoUiWuX/CwI0ReU
Wecc5ZlboO4ySCBi2gbMmFmxPNWNEbtdXZ+bplraDiQpSt866/GDkvLvwK8/9dxqRW8moRh4+3eC
1CaeSC9TZq4pKxrXsfAne/BL0SKzcQ3Tn0PiIBB929gzcOFOY9UvOG9nRRNd1AreWRCkptf2QWxX
Iol1U11ByAWHM5/F+UJbERi0Oo96MZgF0suc82CmmdN7EDCJY1HmqGIzEpl+M1OKameVNmW7jLVF
NMQHUZeJjra96WYkB5cvNUMvCMvSLUznMqvLcgaG970MqxLEtUk8ahqhICSH/2uR1w7q3vZrEyI3
5Xdu2TbESWOvl9kgGAb9FVjJLRuK/pxRdmWEBGJUpIAxkC1yI/wr7cyvknet23QN6JYEtJlRRJ5Z
Wg9xob6TvlsPYKeB459+DsCcFODdXKKm60WiyHkljWgWt5rOTKu56QgNPOokp2ZYfYW4GUSoDTOd
WT7/2muSiMK0Y2Gz9kFx0gqZth3MHO14UKQGQbDYCS7TwLgKvqaNJ4PgTHbxg9kpDxIfSyLBQE6G
c1vKRZwXHxoah7Mw6T4VJkQl7DxYpCEY7SYojgDZX/wigxwW/Ibj9kswlB8iP3V701AXrfoKGSMl
/N7Izw3GhsiDoTqBWOIZoJKEbafCMELlplXXiLoFxOOwvK37PFgmYXg+2PJqqIoz8C6+245ZuanZ
VGhe9kl1///1ypPzDWrgdb3ydAb3rl5BQPVSr8DBDMSCNoNwhA6GHRw/bVLQKyDT7U3zwW2TlJ9A
zxsEzY82VWiQ331RygBVxhj6SkMaFrZnQ99J9ha1ArbvWK1AItdBkEOGihk4jGtTmvzS984La0is
3lfXKKUfk1zdEWWdZ6b6kHRFLNrGDM8CBPkwbJ7GfR97WZL4c7+xW1d3tS9QWZSC9W3tQYT8FpnD
4IYFA5lqgihWA/6gUQli24GxJMvDWRoXeOkEFRFFmN5VTMZikDkXOO8ujRLlIpNx4bZDY7hGZ/ke
0yyepQ0xRKXb8grJ7CM0nbEuWTPIi5gQLXKblGDTgd9HUrYwFZiTvMlb1w7DQAyV/BhKDramkRUC
VWpZFtbc5zqYqQTC6MzM1pBs/QyJKkOkxDrNqXFnDKAU/FJdDpuY9GAF36AQBUSjVfdulbczWS1j
fIED+tCEq4q62glO89wPvLapIfE81DG8kST1ZNolHhlUMSv6eNUOEHvodPVQ6/YM66IVDoIHqhp/
qSp+0xusEL2cGcNFrfFZZ/K/rdhe5ig2hdNbyHOYdVEF1U2UdZ0wGw4lJx2+TuwqBTFSzzBHAAkF
ba2DQC1ZZSIB6adbErTmB8cI7zsiPyjJIfqc0tSNcIjnpMwJaPwGz6kN8ZXCz/UsTarY85MWiwrx
CxKFy74GjWhVoRdzedslCvzgocazkkK+nCtwTmwHEpk2RK9nQambu0Aj6vrY+RIYeSzyqFiUKD5T
CftoOsMKG4FcZH0iNPjicRM6Xk5CkLeQwAKhW5y2qCGurcszOBBDAX7lwqFZ7CY+luimMLW8434J
X1wpiFHk14NZ3Ud5my9JY9zABF85Oaj9Kg7kWZjgv6qyuawgAecZ3ISKkpauu7ZeN6zv50p3hSgV
908hJ/YtgyUqcmDFTcCDmUdtfWeRQJ1nHJ01cfy1GJzzocRgm+fhIm+Ni7LvC6EQR3Md+Fjkid+K
SqkrHQ+wfJqPYeB/K0PGTyWFLGRsZHc+mHCQ4ai/lJQtk1IHp9zKz8BD+L/sndmSpDbXtW/lvwHe
YBRwypBDZVZlzUOfKKq6q5EYJEBCCK7+W7Sntt8hfp87fNIOd7oqM0F777WetWmhzZBulyhxJFX0
NDKXXRktCMr3+oD/53weTGRgSkhZ6oqM+Q8DyoxwEr10+/JssOQuoaTwaPiiZD3mZp2mTKHHuFL+
ZHOL6pGxhQ9Zq1qdr1bJ18ql1UEwNt7WJEqzORgKKxZvl0zdc+KvdVZpBs2/9jKFthNfUC9K2tYT
/IeG427X/lFxyTJZE1aM/nR018Q9Dgk7xh5t9wS/SzaQYMlwLOosgW6tar1mchCHUA+H2iFFLVcN
f1hj7mwdD3daqHP4Uyi1IYuLtFKFDj04jPiDE0a3dZVmUpknz9anaJyuZLDcoKo9mBhN76q6PXNo
k4mOrplovBtjpycuI5G1C7vtwumuqebnpLHXqltfFYUN0oCPyjpZP4MhuAqte1iUetQJcbNhEm7m
ShlkaWvPjRrK2B3lrlsSlfmjvaZjcNeIpS3t7JWx31/50ySyRU3fw4h+4ZV3AahxA67kdqhjCIdG
fVAa2Wxq1teWQfIKhyQpYaJ9UV0McX2hmFf9/lGy8GSdXpamxVUDkGhpnoOpjg48JCLYI1zil0zC
Ao+4LP4p4b+UcMjJ/72Ew8jWn/+hguNFv1dwlGkoQODP3A0pJj9XcDCHW+FE/joOAH2hTv9GI2LV
LPZvAKT5pUxvQ+Mfk+EGvkEKiqIg9lwMjb9Nrv8fqtKPybT/mYyKNgKMgG0E1R6GoKP+XMJNbxWI
AhZclA1d3NzmiAZ9KLw6CDAUDjsZ+BPK5/IS+1BdVBV+HYPkrHFtFdFmGtYWwoUe2UnP0s2EK66d
2h2zZO2nwipzY0eiCrSrMpdy+lhS8cZ4VcLJvm/Cei8WfeUH/v3Qo8bXwzJlae8rSDr+WXTw5Csn
flJNKvM27TTsPPq0yvolAquA83a1ObHdJaqCizeTMh3kVdwOxyZag+Nq6JhPDaYAw+weXGPpJ/13
KFv301xFV6Kie5hJHwlmmVStzxZaWNb4GBIDcAEZCTtRBD3NXQsDIO7Z8+xNXxprwpw17OBPUmS9
iiGJMwAmGudtzvvgpumGq7YJg2wex++DYV5mHYkTs00uvBvRmVTDpY4MeupOw4PjqPpxJxvYjGOV
p25FbxSRboGSs5JsCNfviW+aGxPGX1eOD7enHbvz4fBlTI2fDOrRdS3bY5Q6OAT8ftkzoZKL4rYr
43jGtzaxMBsrXeVNZ2e4/oJlOJLJnhtYFWSEQRrauLpzq8Dbr31dZUPFWzRRQZWB55EZ74KqdJe2
PgSBbUuHc39fs43UW8GdEQtfGMcc7GXqFZ5doKCHiu9Ct6e7cA7acuy0v9cy6EoR1GcoYKdV15dG
eEe9VGvBu+Q7XWuS1XEXlo7iQbFMUAE8Gi/7Zqra0q1Zgg/CWyC5Dele1wT+hR2nferDne2qEegd
uIZ7qOzJfuojVuIZlPXBdSktjGmDTAWBc9diwVzWrXing8XYyIlLdknl6LxeZsz0supLB7QE7M+G
X0UomfvKZ4+Lr26nyRUlc5Ilk7r/kK2C988ICJ0hDa/6FEdx5W2E6bp9RNwXX2YV1U8CaEimWCoO
ywSc1reVzFoqvEuUoKtk/Uphkcb4jEdnOiQzvAA2h2iC44l/azoeQ8aLaWmqzjm4ut5NUVtSKlBl
YRJnXSrGDDBRl6EpmTKnnpNixBSYE1OTu9Wzd7Wd7sncNaXya4/nrd/eAC7TB/AH37VYP7Rn2E73
3pS1aTtec3jJeWBJ0Y4DOZJlpmfixGafUBHe+870zFOpncLVk6V75lvPy/jUf53xW8Wr04DGqNtM
JWzYO3x59JzZ21lWkdw16ZXofFLO8+JlqZkg9Kol64EjgqWqSi6Ec+WE7oEHwZNBec8hMT92Q30V
1+J2jlXuOPG1ir7Q2D9NkphXtMWfM9FnGzpOJmC/FMk8zRAuYnFIU11nfITTVTXu2cdPYz07GRN+
H8Dd5N7aXruz62UmjZ/XBNgkr9cEblX3TcVgKYFaHWW93AFPP08RB+fHTFCILpH7hkPCsYZFhV2k
zQxHNzTirwsFFzBWQbRbFnyF3tBdJqd6aC394srprQ9xPCRub4q4GU989t5tQwgGhwCYnpLVzps8
yNwBWNNwLE2tME+sXocey1yrZH6ZsC+viJ3wNrVxkskuFsckivA3tVujE2hN3mt5mmr3AIte5Aba
Tu3K4cJTvWQ1MKzMsWmhLR7fTEmTRYYXoOTIG5TlLiqlsNfC119lGB/FFL3CmY+OvPOyelw/wBOC
mpP2gDfd7pgP0q/z1qIl8Q2rccqk0kEfM+dN6sjMSO/gDOSwzENR+xzsJZ/vwMefW1+hk+fth07S
QyyCG6/q90447CvQcvhOc9t6+PfonSWc54pP3xWPb4Hf6tLI5ai7kJVT3EK1au5AODmoBVPeBsuJ
6fauS53C4+yxBbLNiDjEUyuKqeOPLdc58JIxE1TFWbesBwqCk7d54ioLgt7PMeV+0kksGeoYRDpI
NCrBXNS0eUXEvcvHsfynN/qlNwIK8N97I0Q13rHN6F39h/4IL/y9P4JyvoVtYJJh6zoJf1bO3X/h
+VYQMbCiG2LG5uz/5rol/4q2JypgTTuQqj/jBVg+t7Uy2HEFWHqz5P5WfxT8lWneNmFtq+wIbD48
UT7G7/ezxCGqBIXEJPLium116NE3sAru9hjMpyk2C6whX53t5Mt94K5osu10K+oQJVJ0H2Poy0I5
6oAhIirTYFzyaiZBVodsyFGcV4x2s18wnThZPJC1cGbb3Q5V+sKiFXPYGAS5ddcTmLzzGIWHRKYo
uQ7bD0v/QpNK5uuQXK/jAktKNuYApuSq6uoBMFB0tSYcem4YXxM/fKoi2FmaJ3fpDP1PjBzSyviO
sJQA+lQ9my7qsxmIPKDQ2OSNWa+JiF8sBTvoBcFr2soXYs0pbbzzHLePTtRd62Tuc2BiT2KkOGw8
4L50PsVreC9EvfMq583nNq+GagcVJwaD0Z/7WL76CbmBG1FnLLJ7YzFh4aJ41y1mI2FbljmxLjlZ
WQa/si2C0W4677CUSSKm0hizgPjuLuNswSpWwUEyn2cYy2/mFnNctc7ePmr0riYD1AZTQ0v1RO74
621AyVdf94/NtOzAOnVZUIlbG5LdwrojBzqY0Vjdkil+YgOtyj5cXgmHN8rnqC/QxTd5K7jcBXxR
hfBjtLzr3WhFvPNYe2W99pOtHdAz7T8RNnpA5XyaE5leahP7Ny2NDzapHoabkB0JJB5g5iey1HWO
fZk7HhvQDQOwMA1fRgfaABNLXhlBtzMNws9ayfdgWUTWdPJrExNZ1BpEgT94uzYB9OWiodbLgS9w
D7uu/hjH4DOO/E905NWhGsKbDZizZoDy75qurKG8PwdRAzZ4SVB2KM+lGK66iBzbyAOFynZjUkEf
AKBcLtb6uV8RGAU/2AcRTbqcjXPH+/lbujbzmEcuzF8XYss6hApe8HAF68bPBwgyKdmGfJ9CwEvi
pAjD5OBvGo4c7TvQ2UfuysKornQ3oxmXLq6j9EUGJsjZpgah9RtKnla2bOIJRjbwMJRy6Ee6xbwQ
RO19ahAB8mmQIeBxFCk5U6O8rNt0qLaqcV/E7VQm0A13waZX4bEP7s7ZNCwXDN5pgaxFIW8Fm86l
IXglm/K1xT2OvcJ7YXoGY7hCtgghtFTuepESd0q9qWhwp28pZDXWuW7Rb0obgeTWCvJFQ4JT8o6H
sMJGqHNJ0tGjJfLG0nbODBS81JffQtVCQoK214VdX8aNgi5vnaboNwlwjjbhc4iqgq3OHgpNvX7x
N81wPNf1UUFH5HJY8oHiMjAdfV82sdFfhmu6yY8COqTtw4PwoPMvUCidqvlsJtwyvpC4tqFiqhTg
0yZrpkh0ACRsHxGs+J5u2mdlcd0FmxwqRVWGyJNkTg+txVSDODu+ja49CKkO74YbawAqI0pQl3G6
0sJuyutEqcyrEWosm821GZsEKiGU2jblD2zE1RyFlXccW/gaIcU3DnwZIaBlvZO0J0ARAvTOnVnz
HpJwMIwTOnzcWGwdaOZsyjH8cLozi64LOejwwPB9bTpzA9ofdNBw14XBqYUU7VL3kW5Kh+ebK7pp
H8G6Wp4pOY71pbfe+NqkkZpLogSpczXVp2kyMNC1CTofIh4VwCm4ekvSioXnf3qCX3qC/2mlIx4z
qff/0BDgVb83BNiHgadaeshGIpYFfuYnywNLzbABBaY4vIYfQM3vDUGK56Ii8omVOGmUbAsu/xBM
gCKCDgS/A8p280P+npW+kYt/FUzwnPMQaxLxKyRwX/7cENiZVkDPaXhp1j5ejiuRXfBhWKDpBVhz
0HUQQBz/kNCtd53YwxJWYdbAFkfZmNzMo4RnSJk15ZTqsFBR5x7cucEsYwMoFka+e8ta5RhC3tdB
2aILEEMcFTm1XQWqnNa39QCWt6K67DsVZiYBT5wsK+aoFEoLUEOKyE0D19npTMlG3RaM6NMk+jTz
Yv5iPHLHA7EnbTfm0hbCrHs+gJo0budCNJZ3K5ROSeQRB2CU8VYiKqEd6BMgnDFhre9pPd4RMriH
CdMdJE7/1nd1ez2Fq9zBDBWFT1uJ/M7wPaDV+1SDbOycuNTLJ4p2VCDDVBoHBmrbiWvrhy+9qCCG
o5s4hAqpLXRWfd70HssCiUZrTdIx94w9BSuvS39cP6eE7iZpTl46770YVE8v9ypQ5YiYESZeg+kS
9vpogk+Ndr+Zoeimbgb16iwwDqwRwkdTRQHexDo3GBmSbXZo2/7QYZiwsn5sMVxoLe760T0xDB2g
lsG+R90dvOF82uYS1/JR7LXjJbuE9Fde1H0IxWCMxPSMufeMJIrIQ8z85ArN6njnWWgiX+qxrfxS
BbISd86ql37feZhDKrdxXwESpTIjpvkKvAQD9DgDD5++portYj+t8jnBf+bT/ImSqPJa2TTrjD3o
hd2EgiYlOsdlN2j2fXYw/NTJ8kbc9FGv9s4z3hfkFa9cub5xU6c5iVRQxlX4jfv2anar5UvLhiYD
VIaEYICG0CCdFrlQ2aPxDpj+IR4T54zc3OPC8bZAf8Eyq5ILtQpYGVuhWkfFxDSGzIakpSaLe1jj
714tQ4RO9LPRSBx0PQz9FgmYpkqDfeRwBNoQDey9CACsGXNHsq9VM6x5Oy3rLpnh49VLtfcd9cZn
eZC4bXKRCJshAQQNQa0wM4C9eqDr7RxSWDrO7UKd11G7V6QPPMyi9VNEWYX8kB/DzIKVgEAiePlD
GzcxTCJ5JXD6ZwzppmlIooyR5rti+tJ34btREEFa2BjNUt/A3Dn1AWgytHMngShW5geByWt4ACPj
LAMmMe8HC8xeMxQvP8UGqSZ5W2NZdm10dFX1FjRB/7DCds8cliCE6EdPscMeLJxJN51fBxbyY8/S
42qHE62S/kSleiXQWxDefXAIObIguTipumMu+ezD9abrxkMjcW2uZFmL3hNTgSTjvTHQKxD+qCa+
H2uWlo1NRYa7h3xRRh2ZX0/3NDEM4cN2B03wRLRq/hl3f0XpgXb+j3EXEtqPTXBK/6cCh9f+VOAi
PCYuwFjrYc3IlkX+3dP3/wWMFOsc/5D9/5h4vc1ASPFo4NiN/lTgsNPZg/YDOPQXw//vFTj33wvc
ls/GpIsYPf7ZJvKfJ960i9dUwDO8tIYjSZqPwHquWuuFVwLie53XpHta6gqDg3XOiUD7WEcd6k1N
CiYcVDhdP9pKn5rEPhjXnhcK/7tnJAVkkiAtxFeEMPXz3C03cRccIw7WBnh2NmwMuLW4fSeSW4D5
fEW73EFzRclNMZ6ldo+J+HuQVDqff+COvFlyJFL8cmycAaUi3E11neDkhWSFo/NtIbDGVBsuJVSx
rnDH/jEkMDfDyfExGlZ50K9uvsw6C6vB5KOgL23qFdonMOsViBw+f5CpyWo6dEXkxV9hyPHcEP5K
EPgC4kOOgU1wfkC0RazxlVThPon7NadzsGM4k7JAdQefmKgwMjkoC0R3AUaDNKD9WCT96LS9uJIN
ODr1G3dTnndhs28ae4RULHaencdiNJDZkqr/VrkhREhPvPYywvSzKZR00p+E+uuNapZ33kf0hMYB
ueoILBdE2NIRiXfvw6koQqRyc77ltySKx36em5MXDQbdLWQGqH2j3iEdnq9hzNGXx3LXLoGbtwjp
lglDk12lK+h7X6jrxU1s0eDQ3iXw5wvaOkuuwZpkI6BAmARIDi8up6VwFT9hwGv3STrrBz8y6zPY
DFZIF2m7RrXuNZxrJDLmpnmTI1xUSKvkFeNgd69Gb7hlxOfHxBvteUgphpSllVdIw41QvcOwPtNZ
9FsY1J6ncW39bO1c+mET7iRILznDUfjuXSNTr2Rs7p/cBR/8nmIFxhcHBNb3MMFg2G1I76yXqWxA
+S4dYBC1gb9mQ4DViJglmGCNE9aCER7ACisww0jEprkzTDfjhhPTDSyOAYph+ABsHG/YcQj+ONxA
5KFzsTBgQ5PBKCNFXGXNhi2LDWAmG8q8ho1XyA1vjjfQWf5gnn3+EP8CQQOHlhsYDTPEPKfIIh8J
OuyMbQC1kwClVmCq7QZXI6pa2A23/mdO+TGnhP/zMH/49WE4/z6pbK/76SAP8bBPDxEnAkRrmzl+
P8jxjAyQUcAQf4C92xDz60G+LZrBwhVsp/ljB82v1i52i22rZ9IEk4WbYsD4W3SW92Pdwp+s3dDH
BhYYzz62XuBX+cuk4lFQ681I5K0d3XgnTDgD7Q8BJYXzgcW4jcyy4LKFL3IBneyekMIFMEGQjj62
IFJfOYIs19iYA908CIaHeiLhIUK69GZuaP+th16CdC/IUdbGS/zDCcv71JkDuAWOvVVw/y4DAvxv
jkv0zqOA3HI4hW2BHTMCfWCffkscdo/gfHSpPM+58is2I82I8oLFIBHoyHh8mP0IsV/FAL1MQoIW
mxwIU9EiQTa4OmOB8j9lNLWvkduKQxUpUJY9Ve8G0yCo/oTDOcScENfzeJqY6e/mWpTtxPWu4lVf
mNkLzYU5IjRfJfyn8OQJui52p2Uz7b1VT85nWKU1u2Hh1vciCinGS7zFKOLKs+yB1SkUkHlC7HTV
wRrPNwlcEZK5VchsuJPtnCDm3pp+dgowQS0/EUc4C1r5dvmojT90pT+nu3Sg9o3MbfAOlAtZJ8cS
satgNV4tE1ke4K2v74i6RyBUfO6eqhnIL0CRdE97U33gSuK5K9b1nSq2fhJuX0dn2ImKXzmxVEXn
EZPP0dgfEMmsPMCiEwzWJXFOlaeXcyNtX0Q6bWxmO4lVAnyu+E51OoBAZaAR9c3wgrrQHlEcn4Jm
YIfeGZaMuTMGhWTUB1Ir8pCwvjtqR6dPvTuQG5sObgHQd5u9dCQfqXKRrASa8uHEs3MVtDrOetj3
deI5xagN1GDHUbbEbDzowlLef48dqY5LT8U98srqGLkr+VKtXlysaVw/QZ2uz3Ed1tfKGeo3uMYS
7F+8nFWzyrd1ss4JFy9qfCzmS12N9DVZu/lJYAwr4W7xB4fb/paZFkwUAj5A7sLQKIBPoQc/LmW6
VDZSRTUuc5xXIiIH3/ifKcH53gZXsZ2Du4VAKAXqQ7zPXvbrbuAu4sK9IpmeMVL8cxb/OIt9JJ3+
e2P9y2PX/v0k3l71+0m8xS8AwcKi2aSejaT5/ST2/gUN3SWAW7YdXhvf8ltLjWAreBzks3x/i+p7
OB//gGxc7HBM8GD2BA06Ql1/h7H5sUbpTwcx0mFo2vGsWfhIeG7OX9Ys0QlwCEIWy4WL22CB7ACI
A7lr3Cl2BSDuLug7Ul+ck7W9T5bwYwHRlsfOChKWAWJYuEJGXqfAINMLMCMJJI98pKy5bqf0eV2H
p2AW36ep2g0OCAGexm9tj9s2UQTO94ydCH53lnMA9p2aNGvW4GZ2B5a3xN0ou+aZVGTdBZJ0UKeG
3Id+A80+em3a+Lla1g+HJiKnTXqYh+mp4fp2TMMb7Ijy9m6aPGCpypOUtrqhRl/J2QBEddTJSxCr
sMJgypR4zyv4T1jdyXREgm2HsYNmdSR2gjkvU8/zVEdZ5Kc3LVbNrNh1UIgYBAQVyitXgBE1H3ZD
0iYF1iVkCBR/kym/AMElWcWHBYN1V3BDg9zrFRwxOEZRHfAcoVDkYoVTl6kTvXVr45dkpnFpudte
xZKnxTB7gAMxZttYbjCBKVqsNSqw8glHOoLsgTc9kAVA3TpGz6BBhyav+Bg+pPFUaYwzkQRvYAlC
MU/ePK91bhIkwYoIsbkNVtaIT2Dhw5alYFuugsq1w4HKzwkxZYPohdtaME3IYiB4CrClqvbWRU4j
3hIbFNGNcMtwdAhz9HV03W7pDqPXL+gZWUYULhyGCAg2rXzh7eeIYMgQthLqOo5MREbsGNc5QYhE
+q6DBEGPzHFsrtMtadIswQk9/csSkqtuy6J0CKUMGAeewk7dV1147/2IrczHybd7W9f0wCN4LA6n
B+hckPeH4LRs6RdkKOLj4qCNWBGNccyYZARhGWSI9i5HYAaQZ5YgTrOmKF2uhMAfVqJIDeAbg/AN
5wC5XMRxhE93AeI5ykF7PI7T89q2Ly0CPMj6dXD8hlcX0R5Bm6cFUZ+qG2/tlv2xOjk0CAOpUSDd
LdmBbjmhNgRwhOBQB80q9xElMkAiBKJFekE7gKhRisiRh+gR4bMuaDC3WBGBXFI7to9TOD6xLbHU
T/B/EJY4NQgz9avXZzp+G7aU0ziR67GP71cW7t2AvmDLnd1jvMg7BKQiBKWwUGgXIzgVhNHFbkkq
WLv+ud7SVQNiVmuDbXtBtWvEt6ZB8tzoulQz3Us+u5BTQwwE0XLLSVQk8DCwfQIDqI7V6zopm1Pi
v4O3EjDdGp27CFx6EBUzY5ZHsgJItRL6VDDGj0JUp2Rw39aEXQMHvQt8Z++5jcjSIf1GITp3aYLL
KB6OZupwAdLHtl5tSWv/M6ohVnPjPeIyfo01JC6PyhvNyZ1KA3h+y1jCt76VdEbkXHlhTis/LhgV
UdYSlsIQGj0MtLa9XZr0vmlwrrClH47UMLfsELfcCZJ+WKqxg224pd4IiTUGrq9ml+bdMqTlWEen
PlHhLfZs7J1FMth0ZqgfeuF9pUuAGGazggSU52CtPjzhIWQ6LeDQUqfUjX/DdFVnqsdyk6VNxC5t
8MwGcEfASVhTjE0Pxk0PKUJcKT6BNAZGHKEJoOF4RnNx0r53xSfvyJi+HytjYNYGR7KGN3ZyTrLD
u+TNUPQaQ3G0OmGxYAthzbopT+LwH6z2Fy1tS5L895J//T7yXv4no2h73W9FH8taA6yfQC6bhMjB
bI95/r3ou4hPRkECJQ2rPLck9281/0dcGytjfgrU/Fbz8VwcPCwJs1kShIhLolP4O0V/6x7+7BMl
2Pa+TX9hgHnO9/4SuaxHp/Hj1WeXzl1Des3QBH+xnsuSYzTi5ryVzgxIYxrIF8KwyO2QOgIq/Gyd
+Q2LXtRzykL5kKY8WrEScZqBHohYv6gABg/2DbVxSVgNbIA7z4ijwUat1hCsn9/kviWwnMV+Akg+
GfJYtcv7XK3v0PKAvdl7ohIs+iLu3m87fvEXREe8hmADGS0mZ8TKu3pEeYHjU41G5ZW7vDfDaPJh
hicxIdaQKQ/83LImLZaAJbtWQPtwBCC1aMIWoGocMyw1PfQduQ9NdN9x4hUNVg4u1N6syVjh9Pfe
BzE89IH/hSV1kEk64kgQoBkrf133CU/B3xnJcxJG9zWJz/C4Xv2u2TVEtOduBPbGGpyl1AdRoGIv
CxFtybC9KMn7tblHYXkCPNtfB1j3iYBQiDTK5hyMHdYJzaFB1AKhd8RdLJaciqo9C9khrtq/BgQa
oPLcvpjc8XNV44L1XuBeEzUdWlWj2+kOXqOLPo7r3eKkeRiiH8F6EthRgGxZjc9goB4cdPQBBy7w
pxA5gkyk8lmw5lucNncJMo9J337Frs1HIregua7DM43okfcbUzFgkVsUM3hO2MdRTeRcwdiErRre
Awd5DEeY3FUUfyNSnNYluO+XBKadm2B4QcuU9WYLzVT2JLiX6208g4e/b7ljMx/rDXOgnxtR8lwT
1RYEaVUojLwkvX7AeAPSYaY9prpkFw6xuZkAGCGLpBKUvPCocYw/J9uukrGZ7lZj0GUF7EYgBJsN
jgsReJmesOfig5o5OoCBmdCKuDt4Ry/YafAa0yr3R+8dLiZ4ne3XcM098rW7ga6XtuEIhvi7lN7i
YpU3oZnObdrcrgv5whEQ2olm9XajRQQlxGF+dJHy1ASXnRfVZwnGKgFdDVUsecH6RSfDlimeewDT
c2fku2ZubqK+uwTpeMI+71ujkiFDa4bEaBzunGD4Apy0YJH/1AFLhckTX/WGXBbkfTJBppOT0l1l
BllADXlM6viDOPZ6JNOnT7tHpeMj9jWca9N4R5fFWN2CraHI+eB7AKf0DetMcIutVZwltp2KXpAL
3vw2HrLXYYSK67ndxafe7RCFuyFtPhwHXtY2M6NUoUwF3a2eZHIWATvFnRYvkNFHZFIgdzquaE9O
O2E5H1vQL2LyyOOue58pbWC2tneeoq+tI5ccSy3QgabhIU3Wcyv09eSBZprCN2wHe9cB9m1F+KGz
f1cjENvSFOisvkCe3YdBeAiwN2uHVOn1hMexZyJEPV0aUYQ+6PwQLPASsStsUwxO3BuREbMNlp9Y
4yGGswog2n6wFim6poNXJy9TJ0DRSGzxygZeKyyfcPW+U/jtKyFl0dvQv8WmuCsHUPcNw42FhaE8
uogYGd/IjPhydGxf1kFU96PntSfM/tFe4yOAaOC0By+GsNL3EMoQOqeVmxmi2UE7gQNWiuFHL73r
7ZwaOZ9/JvMfk7mLafm/l+nis/1/NzAGPv99ON9e+Fud9oN/wRoBq+n9ulrlpzod4gGE2LMPzOPX
VVC/FeofMin0UwzuCDNvCubvw3no4XlmCJ3C7yLBVuH/1l4V9AJ/KtMh1kYhagOBFCtVoLv+xe3S
dKpVuwr/VgB4dht+jqsmD8xS/vTJ3P4y7P+8vsX/wYX8IQLgnUDZ3Yw94KxYtYx1rH+21bCEtQH/
38y3UQTTWmPnX1hG63TVcSxFk37VYAFlDKpZy0u6TOeh6Z9iH61xj6xhPmOVadmMXnMyY5QWcBqw
j3jRPHOifltjNb7Oqu/zLmG407fgClPtQ48fmPt9eytdDhc4FlgeN/hDkWB1H1SxbgtFJKehs3mK
yE4uPIV7FTJXEDRiR4nZYXm5LiYskir+j73zWHIcO7vtq+gBLhTwZkqC3qRhJtNMEOkKwIE78Obp
70L1Lamqu9UKDf7BH1cDRUjqzmSSBHA+s/faNbNB6ZhPiuucPLP1FrzNZ0aiBXZ664KE7F7JhrOi
WLQJ6lwxIwQH4b0D6nfugyxk06I9stlOGYx2na/Pe3ManzvYgGsI40+eW33pofMaZiPVD3qvpHUQ
ZYzxrVUFBxvu3Rqg2Ja5QbWpo4pvqKoeCzvcxq4ZLlPs6hil3nOAEOsu4wC3O8BT6TzXVNrZfcEx
uNbonbUsm3dc4sZ0WV+NKdRPafjMQF5bR3us6vBUDFm7KLTx3inbDTvXLdpJjhS2UvyhRoyxETZr
pFsXhSnNkj7CXTreq9egYTQGvy3Z5dWtmSy4IHwXVRLfn9igXvzmjqhJVds6KV2LKiDHYVSirdGc
8az3zEpGxDx9pHFgaektkEaxNgzG4Zl5CsMgXDSaufE6Pttonv0qttX5svReWdRu8WLdF/k0+sZU
Xym3pmUIsG9hNOml7tudZiWdXxnqhwrMfhH24zWNY2szGNONPmAUrSPRwRasPrVU/9T7FM3MoG2L
1NvhJNcQ0PQbrFh3GfRl5iT20TGmfGmn+cck5HPk1NEys4sHpCsCmoKTbPvW2DhOv9SNYI3TAnQg
lxjmVbOPVozMy7dcFGG1nlylGZeWPVQcgkMSd4tRr4BVmn2Z+6rTrzW3n20V1bBPU0AG+qgt1QDl
oGl89qq3iy1t3U0ISQG8y+6aWMZs/ug1lbMinhUpgxb7idB3BkpIDR9VM8tk3fINAda9lihfrGEo
XRBVFFyN2H06ttZ1g1O294ue41zJLOYIfXd0K/RMCntoK05wWtRdPDOL+hdbOPVqCOUpjGlcazkg
+ppZnfVRCihpTb3t++YZFDXVucdwSKggTYtTYnPLGnlyiwzkkCrKbkrxaUVhFK2mYcRR18Wfdg9g
WvQUx0Or3QPP3QxF85UgzYIHgvnFls99tcLOvovMCoqqsh1t520Q6utkjcnSSSl1x/Q1NS9dX2ND
aveyCBepgjQor5b6GskqBQH7E5DZPad8pxvrSouQGE2y2xiOaNaqhhEu7MzXuYBuhqL3A4Xa3uzl
pmW4MRb0KYXAEDWaVyIAQMAowJof5iVy6JogUAo909J/9xj9lTgwP0U5LuZmj3UWIkHEfL+IE+q6
NsxgtMfbflw6C3MT7IdLcQIxslDe8ie5SnaYThbBAfkQc8ONsfvrx/jshvz1Ic7Lew7nDq5ECwvO
ry9fBa3VKXY73XbOmwx2Hisob3hViuy3igIA5Z/Tvv7sdXRVwx6qz4tC9XcTY+ahlhbDTL3VWK+h
NEjTLy/csWb6N6/z6+n328fJ58kZqBF/gcX91/dTotG2Wi1Sb23rUNk30kC1az799Wdm/tl39vOb
+d2LtJGq1jpwvttuXV/xyK+6rfrp0gYtilPGNba4r1b0b2t9+3h2/XRx7k7x+lqvgtWd2PeLLRKI
Y+PzL/rFmv+srn/9982Lgz98qTNRDToSBCciQ379EFK47+jwVO0Wv+k5uFNX6kl7Cveg0lEz++Ni
/6JthuW5XPdby1pmB5SJdxjx1gAVl9//lP/f8XwWy5WfvpM/ELb+kfT9x0Jy/sEfhSTBLibjFN0k
pIW1Ddfyj3kPmcZobXQ2KwT7sNnldvox8DHxWPPNkjoBpIZpzE9OaoOo+5lOSmXK7cx66D8Z+Hi/
3koosliy69ADWfLYCABtPE4/y6YifdZMtYZ+qooSKtZRQRcTpQvCwuoMAIcpkhuv1Y0EOW6A9zLu
22mtjaPmLKjjrBsX2uRNW5QKNs9B2VkAq08tBCq/1+v8wGgzu4wGi8x2MOWR7LPiAwJ4v9ezPrmY
GtttmAHgx5vB+QJAam4LE5msJiorwlrUFK/chEyilc5jAtpL+uh0k+ha709pbr3TzWvfFCOe0ArZ
cbv0orxYwHOgXHMBhEkbvIMukO6rIlsys09us6wNHnS2pPetVNLoogrkVOA7Ha2cdpOMOAjx17mU
RNSdoc4L0vADOOlY30ADwXhbjG8Wupm7quKgB59R6WxIJrtTz7YtQYFZINgfFTHBbS27xHGWw6z9
wVoNyZ1ucCxfk7Y1dmaXARvj1PAdPAqVBD7dSPzruRX5ald51qEDD/IGZczWsWvD3YCdg+NTKTtE
XmOcGwYswlrsxggNEyQ9837S6s7Z6p3FJN4RH41Io720A2M6WaJsdm7pxt39xN56PVZWPuFV4cIE
Tu/BvlY2/30i/Lb05Ub8163lbfr28VX98XGg81M/Hgf6vPSlBbFtzuHfbvofz4MZ5elCMzDwjlm/
iSV/PA8YGmu2MbeUHtWrOhOVfgyA4SZpMPq+lxh810AX/pMBsDcfG/+sFSzVoiPRNBc4MZMKpsC/
a/g6KGtmw4Vx0wxdsjSb5KnoaCuAla9SL7yBdSc+irjLqaCMB4Mwk2VnKMHFdfpvSqSuddsyF5NB
jACZHiuGPe4ic/DEQ5d7r8JEwz+Lw7hr83vu5ZDhZBFs+i44uRlydjBK760RX+xueoqyBgl/2rQL
XZrLoYiybeLIvSHrjN8YoST08jUCuguv5fcNz6aqb2HEt9i2hduKJXflqUm8R7RQEXCU8FPU7okK
7041h5uIkr1wWI+xgrrTecqsTRcOsDA7MGlIoNG/2wtHhz+Qpcm8KVqwsF4aZSt2bPOxQkhtq0WA
JLymqFdsl91VO0pjZSTBxk7SagE+wNsG0nwgSALFkue3MJRbyUqcAVq8jDM8GBqRDRD7ofWp09Xy
PhmeQpUB1lJne6drnlsVAqpENb+ghWP2OLLhtrs2WljD+NVB9+80Z+0YioNTILqGGmhoz1WWqZsy
caywUcbTVujOTR87Z4eGMyyqa6FY720Lbq5INkoy+XOvV9bajiyJO51HNXNa+97lEwpivP5KUZHi
kZ4r07u3Y/U9GSaMS0wLeKZqGBSc/jHTzRfhemdd0jw1XW6uZashJxmcA8OzB1xrtF2TekXEny7I
UDhMRgBUsTpL9lJhlXgoXdMvmHmvQ6c8SKM9DtFw3wDIV23luVXER+oJ9uzWiNJVMpKc0sJd6fg0
IBpdYFHHoBYA8aXJsReOX84oJ/ObJq0VMQb5Yj6vMHDWvm7GlyISiH7cgnbe2UwCBGyVF69Gbr8Y
zPOW+Ti8mW3P9aWVJZyGPGFzXRy1Lv0MuCK9ysiYIBYbLbX36Ju2hd18doo5j+mMB6sON2EcKwvW
4LeaijhXS7rBB4kSLSoFipgStWAbDOpH1UuuouFDmljzg77GsGJm+n1jy5Uns+2oZpW3qptc7oOw
D89wOyB9vMAIwcZpvGTMTwqCXrYRIRDIt8xHPHXR3dhX3i5I0mxROPWwMTvwmGrbm8h8NbEa24gF
oCK/WaJvvGOvEfRwF0SBGFfky5TTY/ddFWB1g8u+PgwS85IHBjt2JTSusSmKlYmqgP5mAtxjLoYc
TS8BA3gjhCDCxNuQc4IogVma3/RVuo8BCayyLtBWsjdeis4SK8pVGJsRl3TeN/YiGkjsAhazxJLn
EwE1XFyJBqKIopshmj51dhRxGbp+jIpCRU3RJhmyikFDoQth2p/jfVLHOQ+muWjQYkyq+xSjzYhc
C0cDag27aXYx6o0KRm6KmiON27WcN/gTOo9C1pKqotmbUR6eU7QgiWlf+HS1DYyMcy3Y1KMa8VCP
VAZu4zDo32vbvEJHes5UJ13oKE5ECs6iLKdpzUriaiGcWyCVIJXBIMRjlqwQlQduIEqPKmoW/l/g
AbFAnNZYL3KWvOilsqqM5BsZY49SOFdZxqe0Mt+rmugrNYNjinrGbgsVT2WEVxThB1UXyHcGCu+k
HN27qG/48pDhiKmHkOw8Zh2Loik1mqXVu9GqdPGZztteRD7YtlkAFw0308ith+X5XEcAreZdcczS
WLA8blki03EdEGgfk3m7TJHaLNIeC0jQZR521SxdtI7LzAS2wipgRa1EExpsrxTrpvVgZpFZlM8b
beDq41ZnyT2FwZsyZseI5bcyb8Fhrnwo8158RDePF7vfytrMoR5Q5Dlh+YH/lwlhpcola+vH2LUP
kZQf8YQCKdTV7GHIq62S68wZ24zQCL6N1AnWCDsYXQUuj41+52Qy8AO73UrB6SCbD0/vwUFnKdda
nbU9K381ZGtYqTODE4t8vjJtr17XARkur3rGguR/JtDhfx+FeG7y/3VFtEr/5hfV22fxx6Jo/sEf
RRFLcQRtMBkNk+nir+YS7e9EgyFD48TVcHdQr/yzKJoFcoDPdaqf753QT0URMxcTfwkMQKopWqv/
oCiiv/p9UeTye3i6qdRDSPK03/XaZRgMlqJ1ECPN4trPyLgOdpzCemDhiLq6JbkNsBwDxWfLlA0A
W07gxuFgdjNwT7XS5dwGYKIIqqy4e80nfNOOX2F4W0ry81CPQVbK5owlBsfVsjHbYlUGHutruD54
pyfydJl54tqIMJo4jx7cPCZv+dqeYCEivd0zNAl5VjkggIenYL5hOyEvVRHBKlRib6up4Qdy4YfB
UA9K1p4LNUJEPWP81ErQElg8nFH7HtM+3owz9K+A/ofl/iVo9D0nU032FQdAF6brsCRXDPKquoCl
9G5jYtk2M1iwImdr7RXDl13YX47rCR+aUOvX8Ai9wXjO9SLfyxaxF2mlb3oX3UUzxJA/88PLs5vE
AjxjdM5SieyCAw8f3UpXtU2CimdjEXgAHGYdFkBUApal9FdfdqqthjkcoUjlhgLi06n6+95Owi2O
FMrOziLoqp8Q8cUKYjVlQAHNdjQO9WtMFEM3ZzKggCjQgFMS5LIH6UR0Q9r1O8NuXkl2ItrGIN2h
xeIzzXkPrjpe3VT07u1QY6uQzYDMK2Vs6B0jztZpPmQDcAarWrREoQ0AdswpHTZZDNSC3aG3k/NR
bST6IxgYHpbzMa4jaJrCxHiZVFbh2cLz2ofWTsMzZk65n74XA5GSbKVVrHqh3muY+RnEusAJoDqw
Ro+vM+0BohH1haHgMDdC4vykLQffKoghVJTiNhRBgDwCa6KtPjgK1qZegOVsWR5RzJhtzkeM1SgQ
w5O04k/HyI6BItBtz5VQXzXZwlHaN3R2ePpN40XR01dWEIjzKKRGzyxwSomtrsKKmGutgaJLmauv
cnLXY5746NtAgyZHO3DIgqRkI4Pykk35NxDU7or4PXthzwWeTEKiUKn5NGo/kOXrkVowjZrjSG0I
QuS1oVZkkYI4jSOspIpEyvY4UFWOPScT2oprmFFwRlXwQAbhoRF8QlIPzbUxl6cJdWpOvRpQt8Ju
mRZpmIKqVlg7kDn3XlPl9pU4h7Ja68EMVXW6G6T298ZcGGdBfFdRKRPGsDRdKNjgTFu7P0gq6nBs
rvNKB7014DPrJqLyNqjApcryH83ks9W67kaECnzvGHsvjzlEnqWC32umMwXk6C27uHquqPwNrzsl
hr6LaArauTvoCKpalka/k3PnwAULU01J7wGPvcu5y3DmfmOy3c0czLQCJeSugrkrQTmTcTJjHp47
FiEzQdqZXA41wMu5s5mfuDyltGKV0PYUTDqoSBp13dISoZ9BX4ObVuUj4Jl0Z4z2SbTehzV3U9Kx
H3XbPBlmKZbG3HF1o8QhNT/iqmgiakW96LRn6dyn6XPHVkO58zQr3WZAMrS5qwvn/s7memun8KKp
5rszd4Ch7p7IcAg2Yagoa3ac9+zFKwhvdI6j7rzr2DxW2txVmlTL49xnZrFuztbhdQKMqWqm4CJK
RK1xpT3kc5/a4h//kJFytuceluwB0mDipz7qbiov2maW+21iTbBq4MBAOVOhzpWSoN3aUrCe11P2
lIHzC0+THo4L5BtzJWwd8A88eDPBsppZlkSVvhZT7MFf6QzqsOmZ8o840K5+txt48FNb3Zpxeo7Q
NiGpfh2AZmozPdPIq3066askBMTdNtYdsMxT65FFaM/sTQGE0wXGqSqY3aqZz2n1aCthgDwYoDvj
AIcjKE9Bl4JX350JX9MzhohTXY7XzOrvZC9uuR74EACDZgBCJwv9XzPz8joVrdVMER08dDRgRTW7
3lNUHkx1eMx1nIumdWuDIZUexZnLfxlmQqmT2qyuLKilno3oNZ5JprmqNzQXtt/HcpsDO61m6qmT
1Tx2bHJ1ZiKqNbNRAaRCSZViN83cVCUh5k7MJNWZqQpTUd9BQot9byauFjN7NVErWu2ZxxoOrFJn
Qut/51Tf51SzdetfV2WXt/xvxzau/3bzHsMZ+GNtNv/4T7UZukIKKU9nbMp86p8DbB1NA2Ntg9JI
RY4zh2z9qM2sv4PD4DHGP3ARRMD7/EdtZv4dfxc/xqLI+17t/Ue12R8qM48qj6Wnzu9jIP67cVWl
G3ABbCe8CVFBgbyPzejfLJuYB/3yGggiwaC6/CLEFoStfy9Bf56RZzxxPZmOA0HjcOei1lsPui6q
tZMNpwEGIUFIZP5tiKMhn0KRFfqoxrUucJvguLiMMk5O5Xj1DnxneWorhbDbrEW2d7JtRSUPt27H
0FdRAE0oqtVVIXtVbpOIRNQK0uBmGMh+rQogDL1ma5sqMssVLB3WhLaEXdrZt6Q7hxuZMLBv2VFv
YiVM9VXInlPZ5BkQ7kteTdE3xBjd2tBi4JVArJHXM/k1dbH0oFipK03S0q0iM1ONC4VHAqC4HMq7
Biwn0anTelI0ZAdD9GxIclBBPdA24V5OPHaXXbnpkJP1ra0tnEY5Y1m7WonxwJr6UiXTMcy7q20R
a+baJU+q2DyWlUlsbnmMIrHTwjDZIaeOfRg+h57xvatmHHthgRp/gEnMJGMqxn1lqS9SiHGZpg5W
NaiBVWyLrZdHx3ZQ3yEhQNmTzLPMAEaZm2pfUVqk/uh5q7Eg2qDxeGCFppGtm2GwNrkRTAeQZIcu
UDZDliC5isMN7IPKJy1wGU4S72x8ynrLWAWcdIswkptpqnZBFd9HZKhtRA42JFSSXTXNskdqg7we
WApG2QX90SEyOGSVUbU/yLSsl2PFGlzV7fVApCFiQgzLJsFmGGJ9BiW7QZan3kTsopFnsEjIHWUJ
BBkrFNbFMkeq5sFst+CtLSCBno6uj2ewOjan0gZfFHrVrksG0jtS9Quz+KfGwbapyMI9GF6GOS5K
rPhO5m7ma4MZW0sNDT/tlrL3EqFtalf9SJQILIxybjTnsYmUObGBwGVU80GCV9wgUDpz77ocYbrQ
fVEFq1pT0FD0SCdSfeP2je6XBh+8lTvbWu2esCFSFsKCYgT2yobkVKgN1TfCCCtVbyd+aaflZONS
/ZoaGFTlTa+1L0UZdoU5HQ3cwZ5zBUtZuNMeKZ27tgQ5Z471WE7aIsKJ3qHhbBu3OZhZcrT08TYM
hLaEhGsvsP28YDB4MRiXszjSjpxh0EjMG0yAIyiUZTS1hM6RCYny8sEd6kcz6RBFJJTMUXhrdlJf
qDGc96yLiQ5Jdux80sXUaVepRA+QsR4BVjO+69dOKL/pzrAvPWVP2vSEE9vel8LbpDaWZ9epUT1p
RGq3ZnNv9mLP+ztYCB4MJptMA9N44RVVtNYNKc6ZOSTbQcn0lwL/5XONUb1CYTMGaDyD5H4A9bYY
4E+umGJX2FqayC8VcpZEOut48YMvSp20qZ7b4thRxp+B26AtTOHt18tW2vMdBsYBZoHXdCu3DNx3
ykZgXZZ9VWrdXnW1fSZtGw9TKgnFMz3wNJHBFHRs0wPGSwpc3bpvVEjJDKNKP+yku9A0cQB9eclk
Aq23h/jfyRqfiGc+2/ZF8M37FOuT7wx1DlcmtU+BjPiwJxlTtBTvZkgGi01fxC1HXrlpPaihTPgc
x2QTjuFRMGlCLBPcJU3x3g7eUhCg4grMZ4GiXnCWvBiGfMUzvILzsO1E840+8Ca1JrEOAzD7GGVe
IIisWZS9zpHGdHP0fYBPEaAxjWsICFiI2X8ZQPlBfyUQqYtS/8zsZtjI0vJF3r3QLG4oeiQcCOKE
GobcFV9z0tMnOE9aXl8JQX6yNBQVZP5chnQ85l6/bUqNG7wXT2E07uKeW3QYTh0G5DALiL1K7fum
mW6s2n4ZIutcsA5wze6pB6Ko9WDynalbE7PNwwKdG98Gk8/kdSpjpuvC3qAitRZDWsaMO+NdWA8k
rhg5iT6WfdEmvrU61VAf5M4D5q19Q0sLrlRFpxYdygB8s4KtL46nZluI8MkaSww4arW1MmPF4wYB
2nAyct59FjlHt3W2FRGxGpNLDzZswHxSugm1LEYmBHk1qQuIZpM3xcUv3MfbNmUeWbbBm9okez5r
P54GPDy6R6s53tVS5c80671QlW1l2a+BKnfdmJKr3l2A1Pusq6c1vAdI9XF0y77mW6Ays0Ob+6qa
qIv0KT4xY9mUQfmQ5c3kJ3mx7cKu3LpeNh7xvgPS0QEsxK92UBzUCqcBiTzNOs9UbVGYZn+L7jFa
oOs3YChUz7kakRavujdwbQq2FGV5qDUnXDbRkK1Z5X3EhGn4JTPD517aXC9EW69G6EgLg7r+c2hi
x9cNcmn9ftRPhIQH336qz/5EiPnrAGouQZABeDoremK6XFaBlCgfb/dxHtZkpv4fLbHQAOaBchbi
Eetj4r2b1m87238p3vl3L0HF9vNLjFzFdtLyEiomadu5aeXNIG7/+m2wpvxpufjjbdizqRSomWX8
7m3obOey3ovDG5XZiuvcTGCRhweE7H/9MqxX//AyFkWria1Wx8PKpPHntxLCRDacpAtv2mxalQIo
Bun2SvnYmrd9pzEHqWhh/suc+H8Aob9sJdaQmPM/6SDUnzsIsnP5zpGsONg+1NlI/I+VN/AIrE4M
cG2Vf2PWufzoIJy/87/B3wGq+O6H4hf+WHlbpFdCyXUsR+c+ZWf+n3QQjqP/crmw8ubGQv9iuY7G
hckN9uvlkmSg1ocmcM6wwfZhU3b5qen10V6KrJOSlPu4ZX/T1/Uyi7JwuBbeHLxYeDms7kZEL4NR
X7KoHP2ozpNl37QboCs+skeKOTXXIaWkLLY88Q6uIqbnt+IVZmOyuUnQJk6hQZaqcORn94QHPPVt
oSV3DfT+C2D3rUcKV+7gnUoZCoRqrJyTIHd5uHYloHolfBmx9N0GQRTbt1E6OrdW7qJtNeHHGQsb
tG7hW/gm8wfbUYx1wMijX9Vs0ZqbUqmj+Noy02Ozn/RPie5FRCUkxTaOqLKZ5lWnXpj7vrXurZAj
IXDyqzrNZlP430UkP/SZ1WtH7TsJ9vGywhAKP+o9msPVaVzOdqs/2cNwbSPqTYPZstIpvpIxTQhn
RK0ppea7IzutOnfMlWZGTxBRXUrK5FUPrUviwj8QkkNZiT91z3nIWvOLxz+mm4wPxXKbO8dIGKOB
iN2yaYPuTd3wOhqkwSecQeqEJLaclc1Z6j6UqaavixwnaW40ymIQ+ha/Jd1TV/lZH++MiDPC4rAD
0e5QxeE5XemiTJlBjIgO9Ltg3jZNRgQHx9S3RYKuV3eTfumNg74bu7k5atVPtfB8t62zpYI5Cvxr
vcly7y2MigOOzUONm2cZu3Dgjcm7OAE4dA+75xAon+zn1qk67MguPocVy0GSIHxZTfaWA44HWCC/
NQVCWMy/VL1K9tFH3gBcKH/mkm4Wuof2x563CFxed5y4DVUB7ldLKIygg9vUQ7UekmkTRtp9IBUk
ggznFupQWRQMGOa43qgDi+dW4Lopwmbf8A02dbvGGh5vBovC3lZLPOW5ucu68WYorSetbs5eEz8I
KuQlDIlrFkb30WyElyoYktBWdsx/jEUXVfejEzyAbLmbypZbBBuzj6MWvUIcE8NXBbdtMG3HNFAg
UykfVakggzJlshkt5l2T5qXLvoVCBSkFUpVq+po5TnvcsTdiLMZ1QaDgUra5scy6tEEP0B8hKH8S
toolFpdZVccnW0gAVqpzIJ50RgCQWz+CptS4AXxTE2/sG/v16DU3XmU+d0hZltzqKELGzF5GrfEt
G9tpkcjivp3ksqEgmub4VMcZpoWZF5jUku5R76d8q5hcncE8Ha7T+Csd9Yk5m/Ns9UwEkIzvugIL
eFrpOyYkho/a7Bh1CoxfE02+mpnmui/FTRzaJHcn91naneHLIK+LHLgKIlnFmXerh3m5tlNWEz3r
dTQP5P2Vuf3AWr9bqpX6LdDNV9VIP1TD2pW9wcgwhFUQKPqXWSvXWjjeMsuya0bTttK99jKOjbaJ
7eylGM2DhfvK6mj9InzajjnYd4ZwpQMbU0V6FpXvcBtIsLLQys0BXq3FIEOZszMTFjXd9F4Z+kvp
esbWU/EvSs+5ndqOpMomwvhYEWVhw2tceNGIKTqod6rTXKK8gXUv1RTxQzGyYWb8QEjJq7TNS5PR
C/eRC0CnDXq/alHsCylzIqHUcwfdeYWI/qub0NhgBzwJoXd+FxTONklyj5xzEzVji286U1n+kFjB
7pk7WasJ+laD3jrHgxUvuroccJjokW/o5X2fMwsdXZje2gTzIM4HvqeY1Ctj9GNLjP4oInnKnH43
ZsFrlg8ATxXs+7qDZmYwuFoZAn3YTs5CJxDTysox45nGuLXzqtwV0lwnAMB9jHfp2gXvsuB5OG1y
Ub5WrrXOK4W0AZz1TP/vIiW2MebFHklLs9G+yZg+Kegc2ZcEd3auy7VTarsyNI5A3qCWZ8LdsHIj
mY30nGUALGkfte1nUqpijUPO2OsSzZYFrxnMYphvozzHlN5nfDf9qKwhAcDxYU+AqxXXptV0OyOj
20QyBuXS6g5h6u0Dbzoo8ZT5rsaqJEimuyoLCMV0Lq7CHGiqWRpFLTR0Vgm3so0ech2fB27IdI2q
MV60kVJhD24+7BIEX2ab7mZw8QuNGow8griwSKbRbRNjbwom1U/Qm22knA7Qao9EufloHm47uG0r
Q0Dr0Vl3LmKnOnuW+HAB2Kd1wG7TgdbBgM0iB88iN8sdcQ+HqPwnzKqq2l+1NnkrEuU2reJLQm4b
sxnVXokKPkdlyq8UGGiYqea6MUxQtrHJryQrxe9TplAxi5yujc+B1+Jw1tTO78sqWBZBcmDEom7F
IMJrGaXErwUvNnuZhc6t66TZtyprXixDQfXTnOV380mTfQRQRFaahxPEy9IrzkkUPjGKL11R7iZV
qr6SxickTQHxQckhhfG3nGc4FiqKJbTGL0Q7W6cNjm4wZszMxj0MVzghiTLjSp6yEaBHrsPIGrOM
nDiCTINqj+jrYKXZpyLdb9i324XNMjYvlW1Qiy+8Vusae/CmduSqlvzTvlCuqlCPU3jIKKir1oE1
nrx5rXiPah6+HQhFUTk74oHmq8YNl7Vd7ae6ZwnEQCbOWPoJtsjDxPUcBzobNp24V6JTF7jOLrEI
+Zd5gHcZuRdVijuaOHko/m68oXJ7pQLbxQPB31Q6WIRszJ8QQVoZ39iluwi8/kkz+OVyoHsLxCFh
Ab4xsuYDCtZT6ACekHC/VSeDfZ5fNYMDz2NkakUaZEPXOGPkeaz6ns1WTdy9IstbGXtH8r8xrdnl
PQbznkW/pWHCyjZQmFhx6XMWMVoxFhUAQ7IsxG7KrYOwlodFxTikK3lrbg7NmLqTcWQM1hD1S25W
O8eI9v0ovkWaFa/D3r0ZNbEppk2NAkZnbDfmTOmOrpI8RGlHp26a2ZIh+0aImVPjUMgY07vh9giP
wnfXjo+m3gKjDeC31LJ8I9OP7Be9FxYHcVcduH0ewpENPaugqyYd4C/wTepq5W6NMN3qpDF1TeIH
riHvchvDOVSu2AbWblqa8hR1RaEiY87rao/Fqs8Y4vWd20EJ65TxbuTbyVUrVnwzwKwTAhOLfddL
gOqwUBwSZo+srzaTF7IbLJS14giY0onSr2Oz8BndtX7QFc/knUyr3O1Khk2htkp18WhU+aU37WGN
eeZbKaonM0axB4mDdwoJDUnTLnLMN0Lbb4fYA4XroFeL4gZSjMMdkiTMbK253wPFMXCcYNhNVA62
miON72/+7qjNWw+WsRcxkdbMRSpNf2icc9fEyN6d4wwbXeS1eNNIC64980jmPNVNId85W8jgSmGw
5O5jHcfmvmnVrynocoSFKukPnbvFEH4LRIXM3ghoMK3Egrqm9+0g/6z6bGuQZwsQpQDAVdtHs0zv
dYaQeUOUhZUV/Zbn7tHrcaWNFocdCU/btuOOFjovaFU4Usx0phrgkqsnG7m72EidatfTktekJGE6
ukmYowlrBM9ggG8g98lzu7MCDRK1Q3OTWeKTNDFmRBqBIGN8LkL1bHnjzEY4mzrqs2yhTKVfVUq4
R276lPThronil8ZpHiVjS8Yg6sqtNoPtXDChLal7z2Opv8aIY71a4cmYhbtpdKadaNNX/sDHaN4S
gt0LVhHLkQNPhVczK7qnbOrCRVGKA3ycwq87UYC1nE59NxLIYGvPslOxiSV3fZ+/JdIlZKRuZsHY
S2oVx9iInrIeOcX3IcJ/XS0Gk5+/3g368Vf4Jz39/IP/2Araf1ddjYcO0iywvjNH5EdPj62FnoMC
j3b+t/3e/2XvvJbkNtJu+yrnBaBAwiVwWyhv2lveIJpkE94kPPD0/0JLlChqNBM615qYmBhXXRaJ
z+y99u89PZ5q/u+UQZIcHOxwP2wFjV/AC0MXJrAGWj65Of+kp8eK/VNPj5IM/65rmsi1mBToP02z
4iSJQJu35oVLGE0mKWIYT3ziqdLFujxUaDD6WYJTsPTKGEEAT2is0F+HCELPxE/KtzQqfLNVoETU
p0RmQtzA3cIDmaB1wC3bF951XrbzMTS7LD6odjIeSPjR7INodBC6nqdxiQVmQMaDQ+4rAX2JuI8l
qKTTHM5Zg+opdIZLbSLruF0CsXs4Ie8Ag0gaZeIAs91Cxr7TF8eG92HeaNXUHiwSqtA/zcgpN4E+
dYC1JIsQqSL9ZHRecKoV6we/wFW8iaAZ+rWC5NrpU3yy2wloRzCDik28wHvrmgLukaUC5KmgambO
sqi7iQz7bZqKTzINvyQOVS1Od2LeHfu9ahFdeaVA0J4r6+vQAlLXC99QIYv8Wbe3bap1nwa4bKve
0InHGtJO+K43sHvj1vMsNNo+D7T9lzF2+n1jFqhctCA6w5xB3S9qZOqqGzHiVGpHYnkJDh93TJ4W
I8uwCjNuTQ/m4Rbgy8UtTV/QDE1AZ5Gf3I64RTuo5WWy7fnA2QhqEqg5lqFoJ2Om/XVIxrk5uYlf
NkgvJLKkyvXeQZtoO7ef9wyBrk38NrspQLytNYvHL6gZblvjixVZwRotWb+Sjr0rGRexeRoZD9fD
VWqOLOKiCD863OF1bUsb0FRlXOthmt6DyzHvCscp3hPdqo+5iovnpCeXHF3z14KN8enfU+tD0bCA
kv7+1Npl70XxVx3D8qDvJxZiBdeGC47bjhCOjy3+9xPLMH7htLL4J1QFg6PjjykkwlRdh7H/XWT6
w4mFJ8c1+Fv8i9A5sP4R0EE4P59YtmXTkTn8TReRxfLn/jS0RkGA36RzvWsjr8nCs8Vc7eqP1AVT
KyJjY0d5E3xCtFXfAh4no4HdZOHP5DY4iXeuCy+lyE0/pyitpoXHY7ThdrIspDWVmY1LQsV8KEZT
bbreu2W49o30vNiHdEMRb+w0ou3ChgWhrXbs33Yu0Xdjpe21OPts12QtyqQ8h8lwmy5peU5bQxh1
9lI39jpDOthtg0/iooYgaNoBrrgy6NtiA6D5EJHGx/Gzn5Z8vkITn1norUbV24eaJWdlycNcD1+o
4i5kZmTYNnhvrx42jnZJAET1+F5P7jpdsgETeOjUcGz+Z9Rh+MY5fHqxxyh46pdswWFJGUxNrd5U
S/Ig0hTeLXD3dVPOz8w5L+4scqYoLADrJb/QYJAZWaSDmlAo6yXjUNQh2z9iD13iDxHpsru08CuJ
snvN2UXDaWdWUV6PS3ailgf2Nl/yFMmPPWCywYcTY9YRWPDXOsgm8g9JYmTZaYKoynOf4Fw89tNt
bqfI7sm1Itng65T3Ln5F2FR1GaAuxbZuhtMbqSsQn4T41hraURAMOYC8TZakyGDJjOw/0iMHciTL
JVFyAgZEVd9C6cvec60YXvg+T6C75ty5WHHjE5VESGFyJDL7flhSK2vCW5o1TnXF8WsUHcV3nIJz
rLKsjAg0wjmlrkagTYescS3q1D7axa4Lt4BAF+/CjS46yrTsdySZlwc+l0rfWDrB51HgevcBeY2e
n02CrZ8qGWL29mTtuNFZ2TrrxnAnoOMhXC5q4yyzrHt2S8fdE0Kvv/x7HH4chwss9u+Pw+v6rQjf
/3oeLo/6fh5SpjGORzaF3HrJBfphKyNcNPeIqWycwbaN8+GP89D8xQNHy2aGwSTguT8bk/Erc35x
xv5zwM1/quDMxfiMNdozLFMsgRM/LvEo+4FZST241J4gIXfOUo9pLQWONir9VMhm6YyXAshKomMc
TK9uiGy9wvpqLh5YbrwDI/EoI09ImTq+vUpVmzFh0uAbTlQ+wYnDSgsOHVttsThstQ+z7cCE6o0Q
nPidhi5gTLFYcu2GYqQYWQWB6txGXZwowtwag994bfVbTGeec5wkilEvnRjWdxgD0rji/EpsSCEj
wcqaG7K0SPHo2XEAD8WAZ+kKNq3TEh9oJt4267n+mgmZaVSHx6wT19Vcnhpbv8zzcCvMmUExnkJT
OxPrhmoqOoxouWCRYAGYhWZT1/Td2mis6FxZzk6vtJsEm81dFbinFn2274QQcUOvEeeCODHf0IZ0
MzmoL2ogGGtKr+uxba61dHRXQ2jpqwmkNLjKYROFmDdWGVrWyo/Nqf6Wmu19nOn3eNRzm8OlLW40
hXTVtLAxqGobVk70wtjBl9RoAeqAS28hejLL6Bu5teQHVhJ1f+muOgwC3mTmxMXYw7Zy2VtINRv0
nPmuULzditXZuJjBglk6a0MU0XXPcHQfV4D30P6h5dJKgoNt4qMGnwk10hSP8q4y0PDG2gUlxBab
OGnHXWU9NkCBQJTFq3rKcAplbOhgDgMnmVFQV7J6tclYRb6neTHKOoOetpnq5J8u2rng4AAAEnLg
ZLjOTzSORI8GPfWa5MrQo2prZoPxFk3LjBtC2W/ixX+b2AVM+ffn377LybX+2v71BFwe9/0EBPG1
7J2BHvDzBaLxQw9rWByOdKEmHu3fDsff9tJwvKzl/NNJKPhofGmKf9tLk4SACBXBwR/b7H/gOuLv
/CBiwGqE5NRFeioQfxhYon7aSrcd2cSytIebTj9yySTTXdn8j1/ir5ywP9zeC0lFR7oGQBCAsANP
5SdBhkBYniRpU92YAzStZmXZDfycyDQK8ybSa0X9UzpjejuXseNeRVEkX6iQjPTW1e3Jj/R8NAg3
qfxmLA8qGs8g9zaOGW/mmKOtAzIwTdlNYGvrrNQOU+MRulzetzpt9BRxuCh5N8bNPpjoz6J83EKI
EGvbUkeI/9eam37OJkRFxKJ3VXUgHvqFhokhbBxdh22zcY3sIKNGrcRYf2MivauyeFhnVGy7WFmd
r0HyWYFV3KueyWAHfF+6e2U2aASLl9DRD7rHxW6K6qjG4j1rcOoGmDgxwrwHSJQwb1XtqtQ5DlVT
b0kQOwetHNZusajxB7rJSuqfF1WbaaEOElbx0IvwGBjGYz1S3Rhx+5xC7/SjafiCe/Q4WXWxVUl1
KaJxWHtKmkT1BLYflPV9HROQLq2y3YSTecF7jOKrMW+zgRS1ue9etMQkckaOG/oXQtSN9lsiFTuz
2IB2qcqborROckBVWxHJuspShdNZH6nnWqraMemKTVzBsxC9m7J5n59FXrLzZt1ddtqdPWj4W4zs
Ycg9sjXd9FVDoLsyhurgkYt0lbWD8PEgHQFdY18WyloJNzyH7RczKbcewUeMVAzfGhVz9ax4DuYe
vLJC2VqG4li7Xb1uexzX0v5SxYhih4lYC2l9cZscrmgSf3Nzhp6h5c5r1XoPGMy+WTFiWRW/x4rV
LqCLfWQA4BDEFpVhftMbzWeRJLpfWyzzAb8dsjhlj9u3W/yiuNNMeE5W0w4bS9M93y66G1wVj33Y
kc+etQSTRfWiOLgPxxZPrAw7H7vzJrOI0e7pAOalOvXc5N4gMg0/CoNsr39OSXIAe+B8SxLvky3S
JSsUApUJPXLFGCO9FDmW2TCJK59z5TGc1D0+6eoYpSbydAlsuowGfqzjJ7zw/HoGRcjrwOch5fya
OgE0MvqXPineQaM4277WH9MwY7pM/OiokbbThy1bR+1bq7mvGsj9lZNGvjQFWpIxwOlDtL1TGpvW
nNJDZSwcq8GqFVRbPg0PIJ56sMMBB7eT8iv3svQxhVBxsGd0Xo45PChlUINX7znuwnjhTWdl9VW0
arkpxyH+FHag6UAqYx0nz4iXyVYPMvY8T4W3GXdTNCXnHPlnrGl3dZd4S6eFPHEdwL5d90QHa5IK
qvaq0m8ytIss4vzQrGCEmReLREl6UY0+tPErrs0lqPaqKeULhu73WB/VimMNrAFE1Tyr/D6aTrTz
b9rYnZhDkQLcvYYdVnzOnLu6EBuyc+9KYR4God2RdL92tPAJZfBr49rocfSTNyDzle7NlEeXuWm3
AGH9wJu+MmJHLC2Tddq06YYAdz8l01Y2NbhtdrN11V9J+BC1gnNKMusabcuAtoflSuJqbNi166mt
n/LYS+EPNO9Ni7ZXjc9a8253/BJ7R25NK5EYl8nkQy0aDDTxSTdp2kbvJ/kkQyJFlKoNPwmJMGbs
1VaMmLCdlxbxuLPayL4IibhKOLdWaWlViJTt2dy1EyWdm9GXumb+lKpmW7fDyzBkT43SXnERmrd6
Z8833PDUts7UmzKAhdfm1zFwr9U8XXngPdZFzu7RZlO7jlXv+lqSxdt8zr0HK3enS5hH93EYfkYj
oi3DvexUM96n2W7BlxWoA6w2ei0MvsUheohj0gk8Uzt2ffPSiXJmOYz2PliQdESzNKs+5t7jeyln
QKdlzrrpqvlaa13twUlYtE+TNywmBpYftdU8B17Tra1W5nuuZnetsnZtOX2/70U77NgnloSYltNu
QMpJQUpsaNiis2BxaqNP98SeXv6GuLI7yuNlpbBjCEeDrgVf4hLlz+yIB0YNL7UY70O7dg6e1b2U
ixjUCufg6oda5D+IOemsfrizf9x0MawwOneY9Uh7GVL92NkgDK8M11DdTekOLBHJknlweNU205Lk
f2HM/lxFLM/FpMsRpqDBkgzCl6nTD8LRpinH1hia4cZF1Z0+qWkbaU///e38r6dY/vcfnoLkmywb
umy4qbgwCQJCnP/Jqu7/P57EY9AmqdiEYfz0JE1EulxSDMONWT+o8jxqV1p/+O9P8devZfEr/fEU
i3j1h/exEItDYY3DjUU8iNrOEJqoQgr5lkz/45noun/6Afz5mZZX8sMzZVFvoy7nzahpXokCgZFx
7HLWXZs+P85gg//7G/tJdfvxG4AcBMwHlxabmeXl/PB0xAqMc92KgQnQi6CVktDVo9OUv3w8zb+9
hmD08Pe9xiGv3uv4LfsPvQaP+95rLBS4hf2IyfVjwsx1+H36LJxfBI2y5DAwUbVaPOq7BpYGhQ0W
izaPB36wnb73Gqbxi7MY31i+0CWgkPlHGlgGNH/6SbLCA1FnG1j4OJWWtuOnc0JGqi5G4rEwtKHL
3Aro7PJSSaC83/R5LmxKrVZvububaOhm0DdpOhSUywknmGOld4HBZtvFQ7uvRS+nFcLsLyGZg37p
BW8QgO/TIM1J1oACq2bH2Jo21ggaqeZSOs63qAIpkubEP6JCjxmwdOZGNnG9aZ1Bsm0S9pkckfyg
FVlLuY+ya/JJsIn8hISsK/jYiAwRbKA2TE/4Uot1Uw3TFuYw/g6F0ymDrusD80U/yZoHUvt0xA91
dss2OOUxqPBU81j3MFx3qa0dEOYpLIPRk+jBWm7DihoPy5Ss1mrkjkgiELBXS3vNOL0rZyyOMuoe
hBPpFDuoGlBPVAxaJu2qTpwvQ8GNXkGb2hGA+W1Okk9IJPBEW73ID0T7BIxrkukRZVCAlC+6hGQt
H7ooeW/D2Xil7EU1iY6XMUam1rLJMHMzPcWP5hXeCXO42DiDrh2tatTPdly0u5gV3iok8OVcS3nr
ZmFyTy14GKLpQavsYlVaBRkwbnkrHSRewIlJT9YtclBLurg5Ra1i6QMz+inVziLq8P5PdWS/9lWI
PFU301MbTKLFxPKBCpzr2qmvI767nh1nfJkENftKC0WAvDLhL3k+4XIkFLueQqP7sSKtlm2pZiyL
U6NP52O9bFPjj8VqObvISDw+hODaQ1GCoiP1vvXCS88G4loR5vO91XOfXv97en1Mipexxn85vYrp
P2z6l8f8fnLZvziMfLHsWu5P6n3mxAu60jDxAEvcvBwa308uhssOazbpSKa4v7qG/1DvS5d5gwsC
/WPR/w/3Zsu47I8Rhk054Hnm8hoITGNgbP50MzWjrBJhL9urPHWibVlm8Xosc3rJ28noZwRTsRfB
gttYUa9HeMr7dNjYojUEHnNjKki7mGIzO7FhV9M1bA/2tysXRFAN3WJ0VEd5nUXmDiAkPoGVZWUx
gdZaQAriWgu8svg01w7GEtl1Xl2spV711mm07YHYI0HCX/MG4bGeZ9gB+PcQUo117zU04lG9S5rK
u0RKjw7hWDsrNQzWoyrJkXcx6KuuXMIK0oTRghr6UzyhdEZyX1zJLO3uhJMOn/XCtrFOJVH4mZ3y
uM0aPT/HTlrSypbBVaKRzwBOI9ozs2ef7Q7mdCukERwQ9w2XtCD4UUAPWNfIy/EcNqzYDaN+c2NW
RlmLqsyP0CYeIjtpH4xBoUKLCvsLgW/ero+ygQkAGHfIB7tMs8w7d9azzbjo77NOHy3UoWzD7LZF
1O3o01Wt18k2BVy/tSqBGArMnRgYv5if+ZravQp0/P2iYkQLM834ZM7VfBPNc1KsUqMzPqf0iKdO
NeFhYnX1wuzXXFMoohGtaFxmN++uuy79wkdaHBSj13uB3S3zEx3IszUgoMX5GF1NeRquwwlzpB03
zc7zMmKhZs+9wldn73NV0JFMee1HLOG+ID7LziAXmqcuL7tt4yUFMJ/YuJimyBDER02KZDxgrDIq
55aBgLbl7GtuzNis1qwPyhOS0v7UNOkRZeYMx1sjOsSexm+DFWV7t8rD41jGFq8tkdolJt4GdUoD
n76c0Ke3LUe4mgjFqUI06xYsm9Vo11Rws+EFx6zWnCfGGs+wfIyzobnVNS8/2GpY8i5NaSBdrWv9
epojWORk0x/CGDViCSGGdrua7qLaHdZ9M6jNFHfjJuznYNsAHAr/PVl/dUYt09K/P1kfOkKN8+L9
r3Xh8rjfT1fvFyw+9GWOIWz3A6HwvS6EFIpFTjgYliwOuYXJ8P10dZe6kFNXGL8Orqnmvp+uMIWZ
ZINX8kAHL7m8/0RH5dh/rgvpH3WLGEqTTQVxUBSGP23hRG/jMirz/BpyyJEuk6oF/NBIlsoMEH/b
o7ggZzy7WEvgCgqvvc4vNUZdGHXaociYAJDQUuAU70hsIe3hLSXBJWgW3WR7GWdxDkl4mSPCBtMl
9CWS4WtDCky/xME45MJgBAO38xEVs4TGzECZTvkSJJOlUcOElnCZkpSZ7te4mfyGrAomd0sUzSw1
vyabBgn41iSrJhrLazbQhLp7ycuwxNmU5Nq4tmJn1qVylS6hN51TklJEDI49RqACUej7cQ9V357c
c9vKg0l6jjmN75M1X8AFfc6C5mGY+hIPdrgryd1xmMWsSpJ4bBJ5siWax4vsRxOL41y2n4bI2TY9
qrOaW8Nq8NwbggZOWV5y40mvIOdvK00EfrdEAaE501ai1p69JSaonKu1Tm5QVKOOn0kSMpdIoWIB
jeWMa7bREjhERPinEZGzTRKR1eH/qdQtCuttTlLRJMW1tL1tZ453SDFwQCV40cg2MgUJ65n20lvB
MyS1rdN1YIl64pDMLP8ck49ULUFJ+RKZJMbkagK7vFJpd6uPwYhfjIAlZR2caUlcQvcNqGCJYQrJ
YwqWYKZ8iWiauv6e8eCGfx9v4yXGqSXPqeNlBPAT/XSJerIG7CMxmuHaFX6pTye1xEIlCQOFZImK
KpfQqGky72K3PA1D8NVSVbKKHfKlSudOQ9bja61z9pYIqm4Jo4qWWKq4ju40cqq4g1lncFjc4VTy
4AbFF1cnsDPIb3MyrogXeAo95i+0cARh8ab21RKJ5REiyg1uDH1JXpa5BGfFMiCiI063VdyR6Ms4
ak53utXvU8PMNkU3TsBJu3f26hUDqsWPQ0ZXSVaXJ6rsHNl82moJ8grLeVgVIxRQs0FVQUSJWBGk
gLFDeNWFtEI4B7RVVef6lk62WRlrghw0AJt5V3SY+vE1l9yeuK9vsbS/xCSO0eLdFUsEmVzCyDRB
LFm+BJQVS1SZNxX8Mkkvq0gxc0kzM21cipM9X+ldAOBUE2sW53de5d51LFgH2EQkKAYHmWouoVmE
Zbrkpo1LgFotkKuQ/cIgb0AZnyxBa9o8vYVEefh2Aycg4xNdtRAWWzx/OjltYsJSIpboNnShu3g2
8g35HzAQoOhasD7mNy2d3tqe0cTYP6SZIAnDvUmXZDhS4CyfQTurGmLjuIcWqxaP/sKdjKbeOaKk
G1YV3nS+dmTE5FS/8b1OR+oFWCqVtUrZtK0NzXo3xoZAUu0y6i37EHcqNvo0v1G/7HFRsj93Fum7
ZMVBdjKA87oEPqyGe4w+JSQ+LFKBEXokhDi8nh5a1dDxC+S//2ZkOLAmOwtWKSJ1xP7anUIO3uT8
JCwnj4+llI9Vra4aZj8rLK3vVaVfS0TwTQL0FJyaRWYHwn5HIC/Q5/ocCMAv5Fatcz7xkyp40ykL
cR8O4KuVE9VZapzBYewyU+7Z1RCSsg+oV/aEwLwpJy53HkejldKsgprwo8i6zG1EPhbMUpuJw5qi
935I8gEiSnmjGn2X1NZDNXNWlpROoTIgALpAXkr5FobVkYX+0eDNwXhC3c6o8lFzZuEDKFdkxsIp
qW1+1GkTvPbO/Fq36g73WLgPM43tg+g2OQfcymq7+8rFc1GnfL+mBh1nEY4NGDTggdWfybjmqID7
GXnXHHS7UEU5EXDNA5LMp9Ron2vlmmuq32fLm/W9MAaxpj2JTnOT9OvYjWz8aQsBN8TCnjH9r5vk
vnDMHZLXch2k4nVIAcoAmNraUIXpS1NjZVbOyquNp965HZrjHLwM8cmKzFvsWCsEhU+Jlj/GDK4d
QWvtFCWk45IdRSYapG/Ou+CgJyDGu+ljFk/K0oK9ZsMykM4cbxjHw8y3LMzCw7mpsrveM/ZyzDh+
42kzT+Iey9opKhkDxmH3LNspWemqPar2CnEKu8sOx6ZkUzGZZJyRH7wz0Jr4dh0/i2neZVmdnAsS
l6Hz1BcPAcoWVAce0HZkpC1Mc9VUoPUwAG+GKjwi19ZY17gRQ8cy9BSaCNPYW2P5jpE3ugxFy2ow
5MSWz0mZD7u6jVkntIrlAGEbMelMfM9yQs4Vuu0mjjE8cX4dg3b2roVZl9f6rM34h1rr0MvoKqsj
133rrGnazSNDFIY8asPNI0HOHG5zW1yMyj5wGh2dgJ8O/eKqbgGFaLUFc1hWnBA9Ijkci/tIWVeW
1cDYjPR3c9Lfgyn8zC0HhEo04hnU1rkLgSHVeeu8xsYU5ZokV3TGGH7tMNoZOjkAbWByPITOC1SH
Hnw+huVBAckVTclcAoxvr6Fols4p5MOuPrf6UVjBXRrIvaYNxlVcy2uzIp8v7nIChjL9kY+fu7jI
3qsxOfZGKLeVGoEEOrvEbZo1vSph0aOewv4h3SnOIJ7Qyr0ULezjMbu3MVU7mf2Ye+pmUkm7cub0
MFjOto6zm57rZMX0fiva6kGW1hcO15vWGwpyo/gJxNiS2N5vOeDEji0ft2zRXKETjVdyFvvCaQ0o
Ifm19BCTprAhN6ykpk09gl7m3M/Ic8CfVzvNJh8RIGG0JBOnNN7mBqNYRniSRELPlte5osh9qevq
PMpMQuTVNkS8LHThV24t234w7lAJnLhy99JgbaeG6LGaG4Js4uwyCG61KYauoD0FWflsV+JlCGAh
wQh6biCdlyN7X3ozbC0a6yzPDp/yCVWn0LLDHB9rq76MYbitWLavu9i9jeyKe7TmPHZVf5mJZ8Ko
9DmzCJEmfoqvfTr3o9vtp3pqyVJ2LrlA8eTkHIRatMOk5KyVbe3T0jgP+swe0zT90Aa34szOczLk
+Y1JE7oO2UGBbamNdR/he+47r/IHWBP4w5k7Vg1udXeu9w0s8HWtJ58ljZnvjt2NrBpz55HfuUNl
1ZxzVU+MDodTtmRslmGwS3E477x8IOXHQEvAqi1zZ+sBYdXRiWW+Q5d28Ki2AGXj0sTU0zPN/HUb
8O+YXvzXduz0Xv8HgfjymN9bMVonQXVlO5Ji62Oa9UMrRtieYEKuMx53JOOx762YzQhs0ejghWHR
JheZzvdWzPqFNkxAvbBt5yOr5Z+0YpJX9qc5F4QKl3YOublDwBL36D9vcQgrCHVB0XMlGzhQKbhQ
AKWRkSHcs7yd7N030iOHrapsAsumObG0Y964HbZoGRvJa2xgn76OgrJTBxTBqN6SLoE2V2l2J28q
lA/DTTFUV5WZxg/4HSFARuYsYVDODTPkKPlkwlS6nYoJ1JweMD4LWY8GRJQvEzfDmqNt+zE8UCge
AV4FWg6NVLQya14B4yRsyEdQl1gnzc5p4gZh5RiLY/7BpwtnZs2Idsjx3rQLws4zQ/TjEo/m2LfO
ul5wdxSIigM7ELs+dcRmWLB4lJb109xHndin3uTMG7NZYHqT4ZEKnn1A9ioZaKibrUrDa17NzqWb
CINfV0bp3NM9QOvD7YyZc0H4iSpK2/vUzADwO7S016S3RMZOSf7zFDblyzxYHh0kPFJK8jEq5QGw
hKlv/p1Ff8yil93W309MwFK2b//Pz97qt78OTZaHfr9SsXIgnIT/Arblt7XY71eqwf+EXhhpMsav
Zfzx+5XKSNq1HBPMjCWZqiyC5+9XqgOS0jQNTB6oARFF/6NMJfJYfr5UQV4yGMdRYpPLZf0s3ZMi
FJRmdnltEMK3Qr2K22yYps04FtSzYyhY+6TbzJwO5CmiygJh+Jp7cnF0bF2vBeJXXkmu08TWcDoE
G92iMeEmUp6zWDIriOunSbdeXA9ruNuAqSOUcNNP6YNTB9eJ3s4ILEjmLMpE3o7UDSFBiYtAP0OM
Ss1tc9mLUb+ao7hfe7PVI9qPmMjYgGILvWUcILzNnDB1ECF0DjfczAHoEE+3y33nDDlzb+tqJO6E
dhyWJOB8ex2NLTiSXn9Ej7GWxEoMRtusW8IKfUePa7jm9heH94lHhb+rPNDEXQ8LXB+HeEXW4Bcv
9tzNFJSwaunI6WegERZWcMiqxPHRGW5KjBw7phnZyba14RzEeNcIJSh8q04eMXihBs9a4ddhcs2M
0wfTADt2ZgjqdA8QLB0fUdzjQgqt1DJ2NoezNZItYaqgWwVV0a0LDf3CYOnKp2aiaFLdpaoSpvFT
mW3nXlv8C0e7MJ7ypL/zEqiUAOSQMQ1iL01FKZrGX3thXsJivqK/pVeTlrnqkvolazU/6Ogm0YSf
O9LDAUOjHQ9TNIoz7rGS5Si1HmSzCoTzOjMcogGd2zSYMLsj3liTxbxRSHC2g1Z+UQZFnqE3V4aJ
vk1pu5Khf05nLbLuZJqUM7nVMD3hNxN0zY2KYfC6KR8NAqNuY0FVa4AhNgmYImVepE36aIt1x1fY
bnHhFeu00nZ1ot2kY9lc5hT5Fw1H7Xeucweh7AILFQHU1I++lVvSN9KCrTBNNHmliDKTVJcUkOAh
w+Zh9MZoi6DtElrBp0n1eIs1d8duz1nbrf5kKayVjIvWgkHhpDjo3Ti8JQ3zLMZ8PYfjlWq8r7Uz
VCAyGz7DxjmEKmZQ4tjntmuu4xJx021Zymx+n8Ys3UsgMV5aPaXL8pG1wgmwhnUpurQ6Jq33Wqb6
XWvXX91qwheJSnwOt2HhrKtmOHqttq1141Rm0VVclscxoZ4uKcQLEIuqibpdFnTDwQnsb7OjdYym
BtPaxV0gMZEW/XxvOPMlVDV3EWSo2zC2x9VgOjwvzpes3g1ybpjCRfthNm9q+7XR2IDnnfdYEKeT
JeGpNkBj5K3NopYoaJYf3Wzsgz4emCx0txx2iE7bNdIYrApxyK9PBTdm057xagBVhYNZdvGdFNKn
ObqfK3wHTg3lMiJ0ZGXULRcKpqidFwpzi/w93pqps0MBH+4VcDsaoMjdsHZYOEb8cooKRnyB2HmF
/OvGHbUXaRXfylr/mrvMZHAgPM04ZVFBEvapsM0Tq06SRh1IQAnVZ7fTMK+n0YWJFceErt/kJeCA
DlbJ9WBm71QW40afh/euWRDeznhnDlN1MIv+ExDFrbL0lymWF5KMtt4iEkVnzBrZaqzd2IXPxYht
AP0BhoFpB+tlrVf1jRdnJ53mkuYDA71i+yXbeM0ybF8Wk3fEmfvodgFps7Qcpmc9CN02diCPmvWs
RLWhhRs3SjMuI5fBjSy9O3tq9mNmkVeT9ezAmTkbjDLokqA42HJZmi3dcdpYvhert0ihMW4nJoRO
lm1IFPgWel/iSt41rXmX8plwHwAZFRLo3WbuTd4SZwrchSNsEWMGSyjWzNQX2vUuUsAY4ySD+dJq
X2P+nOsS3WLbuELs8CpKkB4D8+xPliaKDV/otLeN8W4ssrXI4TjBeWK84hZ7b4Qp1Ll1eBghIAQa
qTnmKcK0vdCfPunNHB84jiFoWegFrHGrRereiEmwYvzoh5HTbSjRcNyGzZeU8GNfo72pbfBYvVLI
FEhsMIzqvrPHM0KOxCeVftcx97PT6goOaHaoxIBQe7zTp3IDxH4CpShPpUIFLrThIZqnbjt0xnvq
deOqQaoAfoucoAzZ+L/11K+7fTbuf19PnRY85F8rKcGDvldSBK9gVwDPLQQLqJ97HlOwXkc36OBG
ZTH0veVxKKT4h2SN7zq2sdhlvxdSdENLFyRZZtmStdY/2u1LirWfWh7UT2ADYQJgLCN85c8tjwjM
lpRkaV9Fs2bWjwDqMu73xZSLdRRpHYNWrJzxpXFT86XCp4B1dchudc30wZJnjBljyJx+i4kMIIfr
NOqQl/W8nmRPdEVnNzQooEuPHEigXyi65vS2zNPnChQfMQefRmoY5NXm1eQUam0VcPs4tpjIqehz
KXFJGgvdD/FWxAmn+SPgPwwFqQ8JlQBMoICRCF5YR4MJLPUEAlL2gQ9MM+aH+cIUZLkGUWwd8Vcd
v+ymtrhY2uTsJ8I0Yiv+P/bOZCtyK+vCr1IvIC/pqh/+EVL0AQQkkDDRAhKu+r5/+v9T5rILu9L2
8tyTGlSaXs25++z97QC6bDr4iNU8JvK+fBXx/Cx75qHWyoK1VuabZsQnX2TxroqVHUJ4S9Ysf1V1
Qkspd5wHr+Y+ksqbOJf5dC4Mqjh0FiVuOmN3ToMvWuVcskL13anfxvNFa637oW8eoQL7Bqwq998W
pB+r4GXE//Mb8fxCfOMnNyIf9OuNSASdG22JgGMwMb6fW3470ui/fLe3cNhxteUm/e+dCFiTBmDu
DO4RFAGdM9Kvd6L9y6JK0BgJt544Of/0D7JIYtFFfn8rcrOD7DAEDws8isayJ/7kIXVgdiy0+vla
z8KHSk9b0r0Tx4WyorV0zjZOZW2BFrMoVdb96D7gxZYrtcPwn7nWl9gxznrR7rM49vGVB41n24AR
/Sgcynt0bbw4Qr1IJa/37RBJSG5prLyKtMgAJoFrCo82oz6yY64C9UrteNe0gCCzLmYNmZc6GB/r
bkhAWDiwCV0To86Y614ZznSlj8WXaVIeMJLf64XZrVQxp1DyGOWUiaYW56ARxAF291azujWTnJUI
NTtlLG7Qyx9E31BM2eraKmiTc1/WJImC/GPiREWIU9vAK5aeqBdsshivWxaqVRqDEe91SpiL8Fs1
ZLPXqhC43dHxpdoCyypCbZNgnWI9qhjTfhiZvsNBHrUOhZlGo05jpdHZa/Qee91nIQcx0R/rvnwM
VfdJMWyySal+SSh5aU3M/hHGkDqe71vWfH2nlVdaMPhZWXwIVfP6Orp10UtXPaU+pcz2WjY9JE13
VIr+Q63NyVOViTFe1zvo1pTBKUrSrnSG6aoh76mH1hqAkvACoXZw40LnWkyMz/NUJeu+heNLjdO6
XQL7RQzeNFMnxXeSZCYvS48KWtZbOMlDrmvTtg0I8UMfXeeO2LuWvuu6+jpI8R/qUMtwQtVVSUu8
1WXb1iTRgzya7fW2XjeNeW5HjJx6IVgk5P3GUIPXhJVgko4QLrsRSvf4Ii241nzOdZG6ZI+WpFHI
sjrUlReVcyE4EWiUTKxrrXHf8aI6Z8A2kNBVOJeiCy3ar3TWVXl9B8HZuBJtVhw1IVkq2rRZzXW3
gzs/s0JhXZf2cKqzTNvmgNg3Kdf/FQr11laMvVI1D6ppYoUQD0PP1CfDRvXaRmhXkETjU5njo5W4
QvzQxOwd9EA68zE21uTIAvYSmnpVjrq4kO2yd1HSb12j3E2DPGTs15i2xQtGYhPo9RRd2zqF3y42
r8nhRN1yViQ2naLP569TU2xEH30tJFgGlzSLpKQKvPmUXhsGQaYx2356qN388Nz9J++ymwIXKdzp
n3lFUDwQUJgAFkr1758RpU5jbKq42nWa0af4zTS9Idv/4y/hLkX2Bi2rGuFFhNjPj6GplGNDTNu4
TprXLrmZyi+5e/r+Jf7VxzX+Xn/+jjq9JO8/eUXxMb97RVE9bGgO76nvL5vPrygqWMiP8jLC7817
6Ndh0QXjTMzZFjb/qH6fI399RTm/WPhAEbOR4/SlJOafvKKwP/3PK4o5FRkPW5QKNMD+Q8wB8zZK
bJWb10mfyqMisyq4G3EqVTtLRAlLMtSYaenBrciAUYGU7o0at4fZKeYuCchDZpMghDFQz7qKU0fd
jB3rWMPGMqRDJXRMwqID2tsqkflBoZT2bNP1iqqNZyaTnKCg77qz827GPeEm7lcvoIgE7Ecoj/k4
HOM83ShOv3CJ4u627Zu96EfrOR3dnLaD0KXehalNLXYzobhByNtKQ5VSrWn2GkGCL8/qXTtrVy4P
L4jQl0h3rufK2ZMxuoscQldF81WRTnnMYd5XobunKSbaa+6A/iTXjhLeZcK8xzIwrjB6hVhL9RKT
pHzCpLinl9aP1eBJd9OXLuRtx+4VN0PbD1sw0XzPBv0AOmlIVoEc8Qv3WC0H/qQWYFLSqwpgHwd/
ea4y46UO2+uWcreWXzTE0mI9FwMiRlAeMjux11CzdqyiPbwXLC0F1BSUBD+B+GeXOiYUe2ILr3x1
6pBSWyOg2SLedxKRqbKbmUmVUd1ZwLJaAKF7KHYYU58SthLYL0FA6fW8kVNKgUsZvjVZX6+nUjO9
nNcPRYiHFJP/FgnjKi8N4Q1tGnpRXT+UQWj4ev1Bra+6sxLL9RGQSASYSFI2JfMj5gZy2tdV2lW8
Jcns9Xb1xakdqNZuuqO88JJSKe0u3i4ccuu4Le21uTQIj6qcnqd8PjjS+GZjWvVxS0CyKOYnoy4P
kLWfR3W+VI7ypa8xKJTAVusWTkJmADYeEkrFQAVk9rRLaEQATao1bG6G99FByKOTB4N8KTex6N4m
aFQgEfSN3SdvEyNmsULDhWCB4eq1JyB0wpZMrjVbACwtYfDUGxYsCz8/lOlpYbUEZgS3pQdAZOPl
suFNZzwNPIhuDGsVIvEqWX7jM6yYFUtdXkFttGFhGU1UrmD74ahDwUqvXs/cDBdYW/YW9xA9ZHhx
VhynDroe62ugnJjE+Jg5KpXrWEp9ZY9q4bO7h3ljVnRXJNoET0aPxj15V9qfqyI6OM4Ip6w3Bx84
asvmH3602vebAYKqo8proLfE9YR21jukPVpnLiCVpNek8VVlsXoX2iPu7ukO713ylGuoraKio0wn
SqAFdek7LRdkbekJHEq56g2qE0dmy5WOV5tKIofrRrgKXU+0vGhD19PXYtAZU9ABqkznhEEicUnq
dmQ4Vl3KLlxEzWvdKVuNtz7TV73PLfQ4w3QOCuuLgyZTxysWSQlMaP0s2ONRnkMksJMMLcZymMtD
G4YsivlGKVPw4+2svlWa+BpnWYAwxn+L/8rZ5jNiX5KkoMkySncaJVbZkVG1pInl7xtYGR07wbEC
hcZq/4q233g9zN0hdutLOPBTq3gkNcmwM+nbKAtav3BhS8ZzjdPZddZjiHlLdzr+QozOcF83YO+n
TZZnbOQjgyJTgNJAuI+O7ORqKDF4mckT6NFtpzR3c8JQyT6EiP9Q+7mWnJuuhk2Fzr8G27sNynJn
dc2H1IOFtFJ0HvWG3LAYOcXZGbMvWROnJzfsb3J+o6RXKNrLCsQnSXsmvr5HjuebwSiPXeC8j4VA
TS2yQ5sMeJq1cWvDkP53QvixnvvLU+xd17bv9f/OCMbnYyx0DBJsgsfMwnBcVKPfZgQNdBBiCNMB
YdTvHb//nRGwLGsLLJJ9OfFOBsf/zgjg2OiGoOkX2O+yef8nx1jnfzZzNodr5hRhAL5giOH7+zw/
9iIXbaW40zWTRLNRlTT3G7RLHji6E1QUvMajuYJNBiDfDPKSaaC7UzNzazoJ4Nh6xs0VquZpzAmk
9zFWmQ5GuoGAxXFYZ6ettS49kzwiKSUoL4InPLTzVsGyLM1tExdf3VlDKDXVtxyNG/PjfMkiDi3B
QFOZUvaEyiW1KA4ws7zoVdYANmj9gtA+azj080iif2Xikug4ZPqMXnQgZL5KPGtHup60hQ5RXUs6
Oo1cKzfXUZnc8gR/H5LqruijU5kNNZ6Vhcw/KuNBuhBs59Ytr9XOehZC3LoVnyXgHkVyGDwSIF6z
6MrB4J5VVOJKF+lqlP1FTeaHrCvv3bg6RmHzjOi2pWKUb3aGBEE77ckg57AiR3OeS+fbDG0AFkhS
gffuj5NdFMhPQ7VWOiCzIYxfVwRvSag39DoUm4CDra1UZ3ajX+Moq1ZLDnEdhVnt88Z6nSNxpfHW
8genvI1CyWmeLZJz0+iOMm2VLp+oo+XrURpEgzLwAUejla0stsIeNzT84AYDYqC5G62e32fHiXzT
7hnRTPrOa5w6TcOMkXeYmIwsBpznDOXOlbxOB2E80mB87hRdepVR+v0oTK+Z3gPb8pHC27UI5ALP
/OhsWXh2Qj9ca8zFRlPblGWGuAnqycIayIOLzeIFj+OLU3Gm01penrTVWUvUnYI3i15k0T7EcXHp
1IyiZYs6AZqHNzSWcSZe4im0d2rWZRzkI2197qrNmqOs29TrFYBXjsXl6jQAw4G6sY+dcEvaaR75
RdbQUi95wkeVy9QT30CkqjC3WsdgcGqWcM3otWb0wnBG/VFfvNijzvl7VCKvUehooFnWYGxKEr+U
Bqd90VHQp2FOHw1pMAJLai1srimWJDuRZecW9/S6yxOXrOjMObSidUI3jGOqDBc01qfc1gMOv5nj
U4N1yiyxsxynXffSvR5zPHSpIsy1HWp7lTTpysLmi30NBnicjtfFqOzroqXMZ0jekIIe44xK3Gm4
iRdBgKTgOw+pq1pI4J+Dc4WlXfVjGHaroMn7kzvx7i/1b7GB4bcpQ+zu0+sQu1egru8iBKg1XIWn
tGqRLBRTbhwzxp5PrBIfIRyJoroIyUAEPuc9nqkggRa+nbsBJSVVrFVjNOQQZHRXhJKpjOOGr5TJ
Yz4Uj1q9lHL3zMlq/MxIQOi1LahJLZCDWC6diTI8xLVyJNV2oM9K9dXR9K2wPATkR9eskdfwzTRg
iMoTRNjtAmYsatqPB7uhwVbaX9uZPtZE6u6uL23XazJc6oPGhVeBsL4WSUFLV2XO0bd/X4s/tiy8
j/7q4Nw07z9Td/moX4/OrFkQT9mlCJ03z+/Zo3SoLv83hpGFnccL7tejM6QpTtpE40wVFhUklk/q
rvsLrVYWn5HzM8uYf2ZY4cX8x6OzyRvZME0O6igrIE3/8Frs3JFCQ2u4nlhbYK3vA8yfNChMROWi
EBp7cGxnrih/ivs+edA6Dagmjrio3ZczqLQR03dyaiB2zH4Mrm2meB2VC3NsjlL1RkUq0KK0rIPZ
b2XN5E/ecTdamnQ/XDXT2rupaUAs4TeGsxtM8+xiwC0Gq16RtMS9VVlSzDTMJwMb07mA0rCyOzlq
fiZkPfv4fWCKLvx6UncJZZJqQt123UvDvE81CuU3lEjvccAxh+e8j3el0k+7UZ+6+GPQnXEjY7KL
vpQxzIcFUb0L6cY4EP5IXyNwpJ6LJ0FZIXv2vpLW4I0zXP5uSJhdzcgwsMcxX3uT+OQ8Z6BYkEBD
zizS2JpT+GENClv03PlAADB4UEuQyjw8t0D3gIj2HQB1uxiOoaQewVnOGjJC9iboLkl5KGxzbDvh
8NImNBWRll7VqqKyvcI9gNSn7pyaytsogIyuOUsocS7koayVFNM4xt501NytU+bviT2bWz3VpQ+Q
1Ng2RRv5apNbPChYuhpml94kKnikyqXgp+zFKquqwXcU0l7S0d9DeO471lVcFn2qAwGlhLYupL1i
lngtsVvsrDntwCkWzjYEd2gPQbAtBcqBjV2moZQSrmHaCntLFqY5uKYaE8kIY96K9J/IwioOCW/r
qIsp9LBNTkL2MF1cNzC3g0t6pulCc0VHFp0ftQGfsAtA5c8136ajf01zfPyyivE51UxVwUANC54Q
DPQlhQIdgBc8GVZ1gcjEYkAO7cWOOKjjv6+giTGW7IlL4vFR3dGH9EhzjzHCitTsjmYHOriDMU92
Gn72NQ7FbPfvY/PHYxOD3V88NovmP/8HpDR9/9mKmg/97dmJLRe9EXVOsJr8XXsc+XNSiY5p2DD8
OFH899mpUzLNQ5VZgQUYZ3O0xd+OFOK7Y5fHqklrGAn0f0SaXw4Mn9PnNv7eBaGno3jzDP/jgSKm
4dUZcje+6jJ/Nu1VEG6N6vHTL+Ynujrwn598FcgcbPFMA0qIya/n87GlClArzdmMr9oCX71XgF0P
Ca1MwDXpu/VjvWHngeRzshfEZ7fAPtM5OPaocrdqGV5SNhPCDCNs7yqSogYsVHM6AF9apK5VSKKD
yPZdj11nQW522glrzqWZxLmCQDrW+jVm44MawzbNFkhprFbuxl4eL0FHvQSc9W/aCNrMWvCmcZuM
HPe7DwxQNVYzCwpq/Z2IGvDx4wJJnSigsw6DMmfbYBhtr1UaiNeuIJzXzbw1kjaHNyKMh0B37a2d
mvqzyOi/UwDcbCM1CS0/7Koyxa9UJY8FkSdaXBIY09JlpN1rOiUaCC7OFRGRCQWAyijoyE4Yrlom
PudhFpUFJ1Ck21rBSrbVigGy1poGbtWuSF9m7RTgTMR96VRCOfP5S6+JMFktuLFCybcOIoRndUh1
JNXpF7OdiPHRSA4dQXDnhq/X6M/mJO3mKKaCeChQv9vCrs3xJtSwAlVyco9ubdkHkHTySbU045HI
DIbulB4Co807Y+8Q/wfSKsxh3jm8kXFBDo17XxQYqizszD59c4YnyjFcpx1FdJWUE6cGs79yu872
W37nJ+qTmpcG/XmcWGJNo0MopIr2Cmw4Hws8Voa0H27nHilInVIftr97SzheW6Hv0OIyuQAVygxo
QWJ4fQE7tYoenczsT/zpes+qotnHWCbQp5G7xnSMDtbchb6NkrZt25RFn8serQl70a84Wmwtvd8N
Rg4JbxTNRaJ98YbJzkzbZ/qc8k1WRxejMPdO2MVeYKU7NlGJJ3X1pnGHO5qp+3v4aM4HUEYk88Sz
htH6KAhimlnjJUGlfVGVbiOtdqOIIvFdJdskDkLWiKDXWOW3pmnf86h+n+LpAceEV+v9waXilQcI
MJp5a4zqeXJ6T3fbHSLCaYY5KOv+VTU7lG1lkw4a7x+Kz7rpDWY27623gMCzN1ipzltc8k2Y/ZNp
EUqZLcO3mqQhAYlOqQzzSWRir0txtsqO5GDyVPLnwxyG1OXYftBbGymcXafOT2PQ+DQEi1WlViud
KrmV1uQqbmBI39qERmbbN/yMt2YHhmaMZomEzX7Z6NXoHBoWJTiBuLRp3pyHqj1KMXIxE15MK7Jv
pJm4yrLp6HITEe6jObD2RkronFLHEFs8KnOLE9i+64S85FV5gl6x7oV7yrr+EroI6KL0BbE/pqVx
JaaEgwhL/HVXc6SXtXqVKMlzkWjP1NEfoibBTukc4k67YJPF2MpWNk3PphETgq2m42zbzGIMCQ5t
cFVi7zrX9NwasTZEhpjm4eAU87Sv5jw/0Gf4LZvwFyohgsQkyV+ao55sK7fcBg2Yv3lSqs1fP3l/
wkXSCOWL77xXlX91/iAYhZOWNZOVUo5TJcLvU3fybZzWXkbT4KnN9MGze8rdijBjaprftbJqLlWV
qF8cRJxVMY63HRk9otJe4tqP6thuq9D6yJNYemWJhCFjCg5ZOmyKmWsa7DQlYmazHhhIaeaAMWI7
7Y4GpldaKbt1FDcPAlaTj8uaLbYKgjLN1+gozbjXSkLsbZBvtbjeCqO/SUWxbTL725Rmd8BPDx3t
ZHOTHqoO6HpZnBz41dt2mCjcmaKdoIJ63fTR2gpo7gmNeCtZ3XmN2twaU6ety9A6qKHLfU00AxAq
B/G4Hu/jqDeQmtiKiElcG9GcQ9eDq03yDrPEfBU28T4ZENCgNJKAq/bBogXgSUQ7cOhcJoNnyvKU
Sorg7FxcRylxqS4Dc00PJd/lzHut2RRxfZ3E6S2IO5T5vE89i7X7Wi8Z9ur6JtKbnoA6e7QaL7gx
GcCRxgh2gH2Mei6mkQvUYS+UJNVShEfMI4Osoj3F2eRluoWD3dgNPIf0pvhWuPZJrdSeBb3yLdAs
vPRUjaNPj3gNMm1PswfPsvYU2dZXoaYbVZ2QWtgoTJnQ1nEzJZBm5LU+wyD/HsczythBCom7hwLT
+RGTVn1OmWT/ZjOO6e6Pg4gFsNKxxdK8Yyzphs8jAlr9AFkmo5OOmnc9PtSiW/31zcDI9Okr8Cl1
m2MiEi2GIux/3y1CnyxAugUGzHGlvEqteKVY11EXgeG+ral3WYK7JBI3buz/9dfkAPo3X3X5uT99
1a5M2tKAn3BWp/zOFKTw0NfueCt+5XQHKh3H3bp1zEcr0Pc9QhPuI/oRUoSWtSoiqO31/LVQ7FPU
GuoaK/EmdQft1QmpGc/U+N5yssGTyXS0U+PJCpLxoKW6haw654XfzXbuO6WCxamEhmnn07TvRlt/
LfK43bDb1UnBRm8p16pfqVbo8QSevJaUxZrQ4F1npDP7r+SehY7YZxKk8tR+Y1ey46X0panrjdUM
zUqY8U7HC8z+lQklHfJ8O82duq4oRvTqweQIFY23IszhioFUr3T6dajpOnLRf1TNIBCvon1tKFhE
jC/jHD8aanIw24I94tLoEAU6FJw2ov+vM/fJHB9ZmHr5FAhPT1VAq0HCU1Z97FUcW1GcnZ1w3Ob1
4PfBzBWs+kkrMwTHEn9P5mCZjx2vToNzibeYfoidViy2KzneEfJigCuVL11LLa+ut+p6ttutUkYo
XF3xYsnqXKvZpSJ7BsSmXTXaoTepNOtNfWezc/NKTbvPp3AHWIIwSd1dlRbvSDqA95zr3p0KA1IQ
QWM2ja0sjZM9pOu/udz+7hpfBvFPV9sAC7wXlIucyVXfyCtlUx2rh2E7782ddXJ49azfxLBid3fO
n4cf1T1/WsC+lDH85AbDUIoXV5AkXL65T1+c8JmTE4NWzqWHBnwS63KDMVo7Ko/2BhXw/lpZnx57
P8Zd8ML/pFfTSV0dok2ArWiV/c138/uDzY+7XVcZL/EScYwy/xA3nNSB1a8Wh1ehekOBzCpSH+v+
x9H3T3/i3z+z/vdrIHB9/oHnOuuUMCRvUVTvst650+Wv/5w//RmoGsOpjI6GxPX7z5+N1sxuuuLl
rdxULveDycz54wn1r11I5w3y58d3snr/ORQvVfczY+vyob8e36EYkdHTcAUJknC/qxkhxmdiIOdQ
xTFuQRz9Jn3qGFvREGC2qLi8MA59kj6XGB83yPdPZoHP/ScLQQSE391ztNHhFnJxlyOj4lyyjT9c
5jQyZeNoTPX1pPQWEXTRadQ65yyw9lYX5teRYZ2jEJqBZbKp5rB4qSYGmFmqt3pg3CZ1916o9MGN
Y7hHGz2GtrbB+nmCXLJW+vmQ5jiHcs2bhc0cbYyvxOZOKh68ld5lV8KAkiPtUxMqm2JSLjxB7+0p
fzQJhbGPfHeQumrNIQ2X7xMQFqGiSLBjtDk64UM9DWvFUC9Tkl511FJi8bgiT98yjo0ny5m3Zq0R
rpf3JkR4hZ/IT+vh1Y3ac+Cywa/1Z9o/t33bHvLA2rQ6MEmjugrC8MoFO0AuEN9iedVh7NELntyj
eMS/vAs1HEjTtFISgohazK2l+bzsSEgBw1b7JyqQbsKwO8thWveIgcaAbSC1WMOU+CM+mtoVCwwE
slzXHQCvvaDWQfExHik33SuN66Gj3oZy3ipx7DFSs/OpkYenhgVSdL28cBIY/Fps3ZtNtpun5jZz
2tdcjFeKk1+FQXXqrQXK0x1wsew6ONO2LD/I31yhfhNkdDmDGbf24mhwlHLX2nm+MlJgeJ0Nbmni
eR8kL3phAMKBy0uvDDA7+7pT2pMUSyat39fMuI2t3MYuQ7caPBDOvMdVRIKYZBpt6XCWaREIA7Va
21l1jpx0KWoFDJFO5I8oUnixe7fegopAmDW7tRzLR5aH4Ypa+1d4IIy4dU3roP9DTw8ap453MdnJ
Pe/0Or425pkQQmxYub7t6xwDDuQqrx+bPc3d6raoEHaAwd0mRVse6HPt101F5YlGUPk8mjPt2NTN
IgwjaFBBiLFXn+NboYltQqgQXp/cxbnWsDQlkMmPhJFXwDfAiwaIqbQpvmFLTrZxMAin5aw/reku
MqaKsGfI6li3ks3ctUBcSsDpg2zunbpliLA6JJ4UU6uDmDKju5ts8VxFgAEN3tA0UBuM61mYG6NO
iP0lAwEvGP5p8L4k+BxsHsrAx53rrmW/OVHvUJUQqXRLUoleXESRPQwdZ4yypxo0wKQKvYu4Q1wa
r1K2+Uqtl7VwA+2rMVxYHoupd4y/uQqv2N6gEbzvw8pLhPMuS/c5n8Q9Ttd3vn9Eo0JtWF5zUtdL
ZqQwYxbCDAg1IyEE2pcaLTW1R1XxdR9mBwbKB2OcWAGrGGycAw1s0YaCZT+S4QPgI5+O5+oKok21
4QwZ8sRRrHORBneYp+jPdZPGF98rwwzszYOWfx3imd9yRVVz4RRLYLamw0bmmzgZ94GSbmPVjcD7
90+0FoBebMdrEL2vOJVfR6PnpTeSiaQ8Z6dbvclHptBb6KcUldg4JT45VvrboBBf24qdBo8plsHm
HhpNs+qs6OskdT65YrxFQZV5FuF3t2tfFRod0Hw45gWqV+XBI9DHfj3BtZxZCK8NPOxQh2iEaFmX
znX5JRz0zFPjJQNt8Xcfg+Arw+cSvA1sri99Q1k11bXA4qgOSaZ1UXBbsrRlH6HrH5kqRnJ+2MY6
bD9RQiRyyKp9FM0W31t/KJ3mesxwZjI3I25A/Q/Vq7DtH3JVPbQDR2lsyS7FBPg5IVOeklC9G2R7
NPPwC2AqFSuH5eV1zEHOGHTPGpVT1DnaKp+Se0yUJvXVpe2lNhUgd2GY5Jt6aGS4VooFXcWCGE5+
H+4NvHBhynE4V3FjqjPnwinn9Jk3WYGXVByaZLqUlCusbG1MLxF+jB/j67+ziMao/OezyPnl2/vP
kAHLR/06hrCBZZgFCqAJEwP5sgH9zZik/gIYjT0C6jEWF4t/+tWYZP9io+vTx8ixlyTa5zHE+gUb
OswPPkDXkOT/kXnZsJZR9/MeAUyAY1PCo8MIB7+1fBOfR2FF1aaGgKi8DuD42UtRe9uAak7pbtfb
9LFMlFU5tq430+5uLzXveSaREbqdSv+7sRTBD67JKW2AuG2nxxHs9mp2Y6pmeja19MgvZ0eeZNQ7
OFn6wCMD01Hkuj7uhzcNjhnH1u6q7eS61/oni6Z6jcZ6c6mu57n1bLnYkxAyH5AV1F2OkiSzIVjb
gdl7fNvFpuuYsiNyxFITT6RLc6+K2NJS3c3uT7GMzdgGH/3QvEMRgWuD5dh3CsL1KL53RRJeRpm/
zOrwoExA+1xL9uvCRF1OFCL3EBy9zgr5Dbg4Jxq7eMWL8Rba9VVGfpHHBD9iVzeJ35TajZLqC4zx
XJTzMaaCDK6ZSQFkJG7wb9youQ7CLyK+NDgUuKYoHVtAH4RjmuEtaGKwtxrMrSR0WAeGZGNSNf7S
99MNcT2MKyr08UZP7RNFOXdNFiADapcmH+pNnBpwEdz5GKbuIWzHIyEfdW0PIZ1Kbb+XGqQ4WTB0
EK0rVkVn0oQeNY7nQnu7b5KCsC7ZJDpW7BjncqsfwMAAykrGb6yqp4PsQ/L7uYqdNYudrT44CgYc
/WRV2r4ynBI3ZRBcJiWnk6Zq3c0kOdm7aeaupBJZ67zLw0thgQpYKlYiG0Gtep6goWwbCRAuLUOE
cmnz9iyNjU3wD34LG3IrDzatrOiVsXNC/TJ74x2frTUbDRnib+anOQf1MQueU5s4lazLc5SUNKVL
+jtAFW/iKB89de79KNAgVORWcxCiWpBaoWfjfvew23FBdkQ81cbQd7WYsrXs5reuVoEhNB1PfMXA
ZEPdOrGrJQ4Ti96bJ+eMP9r1nNF6r8seHIGrXeUDGXe95VJGXx492Ucpfh12ZJpi3eWh/tzbCeAs
9NxV49jprm1G2mvkcKdMmOYCFGh4DTlvFtKiWPyxPXc9l7Fr3wQqfvPKSI0d1Z5PbixeUV6J+ozU
Oo/NWckU8jyKQz3NABc1rF4n15j449ugDfLGtS64qVrjQBedRv88F2/kj/VEmml4h3PxOErueZE4
BYsc7FQTLrVJb/Ube8iehrxsvMBhsoSr1iF9TA8j2j8qLV7aMVJWzuAmXlG0E4X3xaNTdMN2SMm1
RpA0ArANeAylRSk0i/DKCaFUmPmXuQiua6s8daPbeF2Rf0RtdSf0cJ8L59g78Obb+EjF9FYg4odK
eFZj7PfFxILdSFlNZbVxqxZW72l83k01akdHZwOFML2nS0n47AGfBlfumsE4Ylb4sFp7w8tveTQZ
frGwGQsgjWIRnKqF21iN7UCx0sJyBOrojHIMOvinbfuYM1fw8gxLY6aAqi7u9KFrHpDVB7Ykgnp7
S4WnutMjx3yWSWEeWih78iaVqXT2OD2N50BagsJokwRIBjLVo0HyUWNL4puj4NIIZOoHXC87o0h6
n1ErXQ9cd75ZsoDgKnzqjG43U00AC9PaAU0LIOBh3+NclcOZDS7OPONU64DFZkzJpE5uUksi+XEi
JoIX8XhKUoGlO/6QtX2pAbDsqKbcTCCYdrSbpWsbRgD7JnYb/UNlFvOGu3jrBGCN3I6yBHW+cY3o
2CWTuS5L9UUbeY4X+QAxNrvVBi1dt23QLAwHcKZNcD0lqlhPGPRA8McjuLtBS/Z5gWhN3/aLXfR0
aQoicrYVnaIkfhXOwNOAWRH6ZF5N5Wp2zG1gGNyHKWYTW0m+MDFBFfWyZOeQGchnoBfRVumda6mZ
0aaf4g9LD+ktaRH3YSPYaeRriEdYVuFNp32FvT+Dojnr9KwHPP3qLJObXC8dpFzsn7GIgD4BhpqM
bKv3qrbOBjwYwqpuo9jECVTbp6CsbooGBmE1ENUml/mlCsWVEcKSNKWyMeuafKWdPyRWcVNk1ZVi
BTkQWahuTv8WD1a4Hcb0OJRjsUIfPgY0oJmVgz8kup7MIluL1jqUAZNpF5ebyFX3ZeM84yyItrpK
B4GlFBpcGooz9Uhfm0x2+QRsgTWZ7QLA0ITxbnGm2wz/z955NEduZdv6v/QcCngT8foOEol0TDKT
rmgmCFp4d+Dx698HSiqRrBLr6sW9EW/Qk25JLBbSAOfss/da35pYbDVQHHGGUAm3i8kfHFbCFDsd
Nq7bRqBt4AhifqTqdLDZJN3EWDm6JIyZZou1VVGoJET9doX0LdH4qmWgiaItGpabbpUpwUvsOBsD
p20h8VO/tF8hHj6XtXKSqeH6rYz6Tz2pUn59UU++5M/FU5T/JBhh/sU/S0os2wDZyMFVsUsydeFH
30tKfa42OSEbCuwCZCbfS8q3jEhVxkSN8E3V9NnF9k7rTrdVli2ULP+orUWW6Idykm6tbNA9o6Sk
v+aQ+zS3vd61ki0cXzbaOOkASdHlWEzxoE8vfs8JMzGIVG01ecU4GRBMkKVrcpvFhQPo+1y1OrTN
+Lty6yJgW0JGjidk2daKuGEXssYnQ4LzbIb+TIzBXBJXs+FEpdsU1D3/hCV9TVNtzrzFmAJ+YfC6
UnJWQlFv8zKRn4IKI0ulDuWqmM0tnNkb8L8YXpqCP6vNJpg2UcU96CWMMbNFZgo7Y9fn1i6OhQZS
R2yJQmfqgbOmVdtH0DAc4GbTDaZfdHOzoRc/zjgbczLL8EJH787s2bSTiTjwwHYBMRlReHM4I8cx
YRBB8NNCG4lss5EZLtTZDDQx2QXcVR/jGmxyPjbpXTebhxTlJtLrCElwchZVQciR2DmPJxoM2A9P
RznGmg1HvKeqrqEAmTZ7nN6kEJhm45I1W5ga4l92+ZutaTY4sS/KXv3mehJwmhf2bIXqSqQafC3S
gTjHEYSpg66m0Nwm0nfVLBFPumI4n2aDVV7ryfmA56qYzVfObMPy3xxZyTRFK8Dj2AFdLSdwMJ69
W2J2cXHMnzP7BvjClELYvOIQCAXtoNK/NLjsunsL9ObGzre56Lp1VmPA8k3JPo10ki0WjeOfJkS2
2fmpUrX+udKGd2lIqF+Ymw+BYLzaE1TjQSi4S5Qm8PymfJWdLHMRuu9TH6yvHY+HlDKKdMzsNaTD
wVyrOYy43tzMAiulCztxnTxBO9GZW9FV1g7ykeJ28XgZxniWUJev9ZD/cQT7+GC09kIfZ2xh1ALw
MBaN2tKdER2i/dPOKKXdqFnY7pBAHo23lFNB/UHDazA0V61JhSjjtNnDvOAwwY12QAcIibUyqhNT
L4qlVBRUz0zbmMy3a1JH7mcHeCPjZh+xB+76Ab4REc7KytB9+wxD6UrKnGdVqvdmnJ0XbXvtS9pp
XVoMZlWpPBulaNyqM38QFDjMYJz0wJ/SKzn2fYA/L400nEQpE2zd2o9h4XhWHK4r8OImNQLv+QC/
em9k2T1oshNDifZZyA4TtYZ/mtsUjZlZaqs2DACvDwHhrOmWBscmqfiS7NDalT1YKCm2/AWV50PQ
9jyBZnQYugI4cc6wRGq6zCWzx1XMdOs0hmcL8ZAJtJfIO3B7vZpWxNKSrQSUSAL9XLnDcB6ooBNw
oYdlvLVIQnH6we2VhkFtwyCTTfjaTuWDqrfXZifbUNacwuTMS3y2b0+voNkuaN1uLRL+tCzzzGbQ
yBwZTgwpcWmvP4TAnOloAhdDFRMbeD6S/MIu1Gcn4RnOUu2lccYLXRrMJTnUp2M1EYehuyXfMRN4
PJzIFpAagAaTYaz62RPqzyv8BEwok3gr2vA4FcMhIyQVM+vWHwqIYgXUJi6fGvJ5lg9nYzW6KqKU
3G+XEmYC2DTo/kGPMfXNSmJXa0BKxizmUKMn027dlDazhK0yCS1vLItDXso0VuViTQgNo/M2OKr4
NqIu2AxwubNC2nPgXEHooiBQocoNbsUjgq7c9YWyhPjh+k36ItKXwm8vBpRusS3DQMbR3+e3BkeO
eiIZRecakBN0Xz1wyL2sG3Ol0/8zguFCH5yrNCZlG/cPfrpeXme6cB3f4Q70JZS3MhTC7HVkcMYK
t+JE7tahvTRt/Kf0Q7cawKlhErey0uwmw77EnXJrh/VF0I3nbfacj+VLJRNoiPYY584M/C9XtT8u
k0D3Qnl0Ay0810R4WnTaherTaZCahSrwkTAJKGV5Izndxq4l+FjpZWwU+8ZQrgWv1CIDcmEapedL
gN3kdsWjeFY79krR6p3mg0gcKi8o+cCwjiyLCqq4rqtPfVvc8lfRggCIM9Z66fIkkaQVkkuQ9w91
XuNXkk6I2NpOkoWmEItKJ5JVSLzVIix9eIDhCFfCtNZq091kbX7f4I0eS2tL9wg5NR5lXCib3Da2
8pAVi8lwEOF0t72QbwoRXzAioaIeVpHf8tk5XpA3G6sxuDstEEDdOZS5k5KhQie1lwAeN/bgH2jK
b3M923W+choWDL3zliTOdDySwEVxCvC+t89j4ew1ZbgrTQRRgum46tjXvjDPa1Ef8tq4wOkrL2yl
vmyBMXQlR8LZwkZqxB6QGKEwlbzo6ZWIeaGaitsxaU5UYazLkghdQCWxRqR6Pxc9OSVzfi3Kcaeo
xYmk6uFB8kFwYA9IL2vk0i6ek52g6TD1PViQhI0nfubkeR03GVUt6p+FYzV3OtpCdW7LFzi+I+XZ
zEBfNNVtIsKtrCoH1ltk6SKBJVOfYFHhuUxxwE2ychcadblytOQqw+bEkTFZJ5pyjBPmWgk5b3nR
aysUuhs/Md1elTIvmgq3QxhrBX3gKqO6TFLERmF+5AC9jv1hN+TjcykhpKzjh4a4pxnVxBOAcSfu
LK9tA0+EUu5yzKckb90sZZPArL/pJPu564wV+ULroLNWxNN6ID1Yf6D5ozyaVkOWn4wNSL/GuKKP
hQCWgUheV4smSlwp7KVdDlmvlDlDAJgWSrFNpeZ0kvq7WpRPqKPQhdUOFrnhlNkEQEeZ7e9dSXv8
78A6DIQGKiNPorsc9PYfK8SmF0Iw3JUOckZTJVkUpDFwOPn6ItS577qav5ehqBkglmjYmjX1U1eT
fqBs0pKVDoP9KGhMtHcDXDzCRHA5fH2lnxW87680v5J3BW/hF6My+VxJtc9CnUmPRbz4tC3g97f3
Eca6ry/3SVnwVl/Di0V6rqKCoBf38XIqfRYbonlw7KT7pj2pgqc8ffr6Ej97R1TLFMtcBg/sp0v4
Jp54ZyzDI1nacb9umZ2kIYfKgPQMgI7NL0Jpf/KOANVyaAHegkXJ/HRimHtz6ig30RGo3CLSsE3A
eU5+8Z4+CT7mj+3DRT6JuWpfagzT5yKxIB5E7GMnXH79qf3qbcw/f3cfdM3UMBPlCvQi4Ya6SXEF
pvEXF/mkEvrhbXz6aspkTMouq6PjIMHXNOA/HkFqs8DdGegn64Pa1r+44s/eFj1xQAvMfw3MDh/f
VhLZWZTHSnS0qvNKDoif2Fr+6z//6HCbmTCSuQ8IF/14Dd/QJNPuRHzM69DLTEAHhdun119f5Gcf
HYmmEIkIdrNU59NFij60rCgicFyUd7m5DzkpMjsjhPIybk90mpS9f/71Fed76q/JytsaxBL31xU/
fVkIBBEUKyO9f0hRsO2g1PxiMZhBOu8ugXQEF4mFR2/OyDJ5Xj8tPnWhYwUblOwY7wGYbdk8TyGR
eMZ5eGG4JM2sSNJeff2uPl7yx3f16ZJMdbIBd1N87EwUhNBgVUazarH5+io//+x0PhJ2TsN8Swd7
9zSR8GJaDTLJo1+Re0ObF2vu11eYP/3P3w4zOe42B7ATtKqPN10Jv5HJlxQfLY6+o61Sbd5HOnPw
OP7Fe/nZJ/b+Sp8WOJSZhVAsMz4qxktonxv+ZTX9Ynn7+SXAHigOjiQMmh/fTKQkna1PQXLM84OB
rmCIVMb75i+2up89Qtxs36/y6atPRBc2Y8BVouSJeB1fkzyhrwxg0klzlJJ1avziO/rhbeEKtSyc
obAHgQp+1kiRNUgYiwUKuenWlbjvTa+aLr6+DX640T5dgl7a+2U77wI+0LBKj/2ULxQJgj9k7f+X
S8xzXIhTDn22j5eIhyGTUk5axzp9kqYtSWS/uMAPtzLvgZAaZCEGjTeEkx8vwNJpIdeAlkydl7UM
Y+NthNcnd17e3sh/urKq+u4bXT6QBfDCTt2MZw/Zy7//dfoinl6eab++/bft87//BeZLI9yc3/re
kpV/g9qMsw+nxsyh5UffW7JkBui2qTv0Q/+g//815f8cmfi9JcuUX8fbB1VM0zFwO/8oZRtpALfA
X6vdrDYEpkvFiNmbmlH/XHRrkkovpEqSgyIjjQE5HpWyG3WZLjG5Q9fGtiuAb7dVXJ0rFpk32PJQ
yW6G7Vb243U+j3fnFlRjf6OrUy7KqLtSNF2cyENahLf+PPExG6hTI4Wrm72NgxLmofiaN6VqINJn
aFQk42GQyKByLPXB50YmTyo5KRk05SaROhajp4ERVDnPolp7+MZY/tlkSFVqBX+BNpWbYDDgTNrF
Rq+dc+LlX7tCzKq+jB7SPPcqAURc+4zCSIWdXOzQWIoG5WAzLusz8lzNeYIWzLO0QdibzsSWnSX9
xjfVO32eu/UFoPpunsUVRdV5FBPxptQyDGo47Vyj8BmtVeFtC5p+mRtlsg5mgP5UyspKwxzEzFjD
ld2bTbgB5MgRuMLaB+4JThMuNSndhKGMGlGPYbIoCtjwKg8urMYabsyOVJXCgsoIWdc4RMg/3ECJ
lLNxpPE66OoxzGkG5vWIJ6RC3S6w5KzCIlPoGWRcWo3tG9+pmg2iJiZaoUAE1Ck0TIfEr3exIvJz
v220E7sUnPwyIBQBryGvop1uSaayRf4lJSuVsLRutBLlUak0fdm20sKq4vg07NoFlCPEGrAwQxhW
Cz2YVrKRneuwnHqX/EDgbiJ5QRlyg4huX8hIBsivW6dMBF2Cak6FI53WuOOQsUVLo0wvhjDflaq4
U6VkH/eIAiuVjMsg7L0mtJ90Bm8EW53l2cCMM2ysBB3FGKmepnUaXDIjjKdT6AUI7MhVTuawBk3v
fLra4bbNfHyXc6TDYKq2l03B0/QW9yAXBYdtOqQFaCu8DMRCgOJ7ovMMPBz3ggtCoF5q4eC1c5rE
rK+c4yXgIxv0yboYMR6te+h6Z80cR2HPwRRMXiOGZQFDcf4k4LNFSKvF4gDlJvKspDGcxCVsieCv
OfZCJv/CmoMwEoECYSwx6slQYcxo6Fy6sKoXpbW0kDP13hwUpDJjcdnP7GdnJM/cz2uLCEzKVubO
5GIQ4Au+/CXzg+e0IB+Rp8tt4hGHFIVNa0CUHTua4TJI17YeM69Q6PrSsHBQ4NHmV/RgmcuiARiI
+hKt7ls2ZETeR7LL66a4+s/+8bYTGFQNfz/VI+QjZzP5cQOZf+37BqL+RgnPJz4DRglcYg//voFo
v5nvuVZ/7B5QOjgxU7oqJIBp0NAobf4c6EH9oG5CJMYgEJs4RMp/AK+y5LkI+rB70B1zMLSrDv83
a9k+FhgSz6BZVXV2zJVSJ+L5bcAxthGAKsZX8+hjGLoOtbhVPhH/cT8VSDhYyi/ByiJesh7Hrg+9
sg0YApGxUGIJwjmVLlvdOpMbBRpTjHS4KFEv+4XT0Ssew5Vami1dULwwko+5itrTjf3iUONkkkx8
PobTP5OtVHghVPPWIRgUjdnJoE8o3NGfSawfQi6MZUGaFJpMRCONz8+sUaBnZXYoWvHYQdCdsmRc
cwx5lAbSbPuG1vEQbCxy3XMiSKDbhT5Ijf4O5dN12oxYmhLlUjOa28AmxwFFgA1nTzMPAXW+RxOi
QSuaCE8ZgwfLmnBCGlDobIB3UaQeCh2VWTipl7JiVYuwjc4ZIu4y2XjRGzQIgq4wmgsde6srQIHh
mz4RTsOfdjaZLG5bLdoWQ4tmNAlui9q8deJHrSeGQteeasd5Emp9EFN0YxTDU6Lb2VLViJWDoH2U
eLHYUPpNFqLdiRtiPSepBYaXRJd1pJ21pXQ2EUnjglKm96+C2kCnkG1jhaLSUIiv7WX9OA+LTuBG
BQtDghANCOUkDs1gHUutuaqCFJJyK3t2PVybtbTD7oVP3WpweZGNyBTuUI664wLjsreizNX12PRr
m9QLePktAT1jaq8TKxTLWAYlZXb+4BktM1Yl5afWqG5E0H/zbWuVRu3RlNuDjBzFlSSnWgs9Z+1W
7UWQJFvVIIMIZQ8D0H6CeCSLbSZhaRcqlGMAcr7bF90Jasgzho8qf5IAUElcoFI+9oG8DWJrcE01
XutxcZ01+saZCZXJZF43ccXKHHyDYfJCy0Ryk4n9zGjNWY2LZd1up1vSO8tloAJNssobqaUhk9b9
teTQh+VXU1ImpMrTuuRylNQRRYyJyVopXrNayuCtlaf66BwSneFtMw7qwi56xFJd7w32UBzQZQU8
K8KmjR0xlUmcTd+0pPtoYnhofARocl2SNCLYQbQkvmmTJZqYa60ho9B2Irz5CnECete6dkMJwRJP
SGUvys2gqL6rFfLJWPanOsGeyyyOgPgj3xy7OPTGvJrQzWVnUQ56jrEj6dQaeK4hmOZZ1UMyVNBT
NPlS13bS+JrIVcZmIi4Kq/YI8I1JTbA8Wy++4YR55bRHDpGlv4pJvnNqZ092wlk5jpcquQ4LUnxD
zyRdczFmZLm29UOK3xGR1hZH9k5vnTkFGD85914MaUyHkja+qrW4D6T2pC+a87SUTlGmJCtY0ssp
GU41h8QgRUZTxIZIDdsmUGygOuIFbF5LCcVrCiF0mQ7WAxbZe4slmkwkCfRNAWxv6G1z18xA3hoF
AmFY+i2rLkXYKLDDpeZTA0tpgW8oIhHWPqklMaBIaNtVOHU7gj87VxXBhRkOD3FkBItST0iGquoU
FSWA7loHEkzLC/cG9Wo4XDbEgrtDnHspXIsl9gnVy3ND8NAVPBK2eZpS+HnF4J8VqUayTusPriUF
l9QkzOGdS7AHG21Ae2jmDjqyMSXJuTwLAqVakS6Z3ooeoKzfA1KQLZU0lvnBNuIbJMeIK7qeKHWn
x3+jho9DXiDX0NFZ9fmOBf1i1ItuU9H+QYHfnpc6qJ5onu5wIlqT0oqAt9bA55g0Pu18F/qEFSdV
isWoO48MPadCzVD+Qtqz6Id4eZDyu113aZjYlKe8fSSHijBRWE0LYImha8aV5AaT9EqGCPtFKKK1
7SAnHotHU+PZrlJKcj0jWTYlqpOo6Sk/k4EILURR3So2ORWNjdspGwcTiQQSkRBH1rJgzTbKXEYh
KkNPb4rH1oluipIbqffzFbMThIt85SDLoN31GkjYBpLuisR7PtMuAlis9UD59AwOLBljgP0p+/Xu
mkndec+eSP2FWSIi44N5JpDcVBq53ez5TBXz3wAsAkOUJlwmenw6SiQo4UMi+lvue6xNmIuacS2Y
DxmFcYyD8mUg0Qd1S3xrmoyyeoFbwWzzPSj0ijpyOmX/h0ll5bMee9uAunL1UW29xJaLWwIB0m09
VddIRKplmms3El4XTr7PfZWuHD++ZrOXT8D0Iim0nW0dBQcrqq6cKdloErM+CzMHNqSiXYw6xyQD
QR1phcTM6xghxCzBtqynaCiIwYXJ5FZon1djYV8oflZ5MH+xJExD7pUlJXKXtv5WFuODKXEzNKA5
sMXbV0MOZMr2pV0UBA/wXPFEw7Aa4hI/UcHvW+URgaSyKBw58MAOP5XxoAOcj+50Gd9IXJlHEJLf
Ct2E55oOmynQXmO5t1hjFfQOqgg9e8jDlWmlAPQAYyxkJjYePe1moUSjs6gm5c6sgZeQWe1NJV+s
kFi1wxHUYmxhdTOl+IG8lVPcHyE6GB+ERFfi70/5qBuBZRpLUKvNhDw52cTEDrmRjYNGbkhLqtRZ
DohL3TMdm7EkcfOVHYhVBzGc+JSuWxI4TwwbzadRMm8gEyiLIPANN6ukq1D018IB/5hHUG77dI8a
CihWSy+USMiK7MvwsjExRvlpA6gahlYmO9d63h6DlMMCEV1zGIOEYcnkedK6ZjUEAG7JTdtKVE48
kLHMxLJ+JJzhOGDACfi02EIIdTHl3p2q6KUn0koqzVdTlq4kzWYTyKzOTZzk1ZrTsdRUfepGceKw
kyMfNp7qzlpXNiadPFB2iDJzYv4YIw1mchNkGaaaQaiu3cLPhpAS+I+cm/YUBjr+FwlqcBvvytk8
WLZxfIaJfutXgp/ZyV0gGYxI+/hKEYQFlq10YZHvgRan2OpOfzNQcyEOm0qUlUXuVbAiXMLLmIwm
FW8HLRPqKIEGuNBP7Ko42vYIVcdCYMBz92qqUOK4Z+D2JtpK7trbspv51kIBrp0DvRy1U82MiPY1
SN8k0+3SjPiODMixlJcD67TITwdd4M8xUVvbzROAh9pVouamGlA9Za18PaXRbhjTK1WXsmVfs6Ra
8mPXkRMCxkmDVo65sEjbfQmOLpcHeyGP+MmcUi64a+MXZ3b2dSbWryF/mTKBgxEqPAy6rarmt0Qm
LxHwX5cdWWA1VZ6VsPSFFXdm6PSgzwiGW6LyXMuDeDVDSjqrGO60jJqvixU3SuPbFsWV7/tLXEYP
vp08xk1LWkO1y6JGWQbZsMJzx06pwZusLM7uijcYQJf8qrgcathNurN1DPCO9OwbcrRGuuuLUQu9
0E89TG97MRTbNipnNUuHIylWSCgOLDU5T/PJvB1xJ9pnlWR0/AeD+QJcJcLCDNRT/zmDvp1BNVp+
f38GnV3TK/GQP0X100/UpfMvvzuJIiDFuA5djIJrDhh6dxJVOEz+AYx8o0n+1cp0VLzUAIe//9af
h1EwaoQzzH5n7NQccf8R9mw+an44inJ5Dsq0uue/VJfnRue7wZABOMKOfTEdJp4t21+0U/NPu+n8
rTLZySbncEpW/dNhdyp9sxzIAzjAngV5CPYW0aWB7uIXY6GP72QepH28zjz8ePdO0OaUlYgM5WCw
xipi31vP777h4+8fyvtUFKS77z+rH6/waV5DzZcTLsM7UQeoZPq15bxif8C4eHDajqMHWJLurmw3
bXRsCljA0UscrgJUYcV5k18GPYspGkQj8GwETYF+3saXPYv+ANX161eq0B5/963++Eo/TTC0SPLR
hcyfheb5VPtVedNiUoS3eejnuFOarNH4akmQqfhH2/zDv/i3PIi3iI6/bqvfXwByCmMGftPsUD/N
aGCAKE0nW+OB4w6aZcUR6T7RVa0hxEGvSteJ5bzdwvDdiQGrcttfKCnCxT6n6ulkaXKFgXtfLVu5
w7gk73qnAa+ZZrdqpu16X65pAkuxcj1oWbzWEie2oYaC2SeWCo3+tsSjrHbVCr3isqMADKdDZ0Ye
sMtFUUkowKa1GJxjBsd5ild+e1v7KYq4qzqwT3HpISY2lx1kPsrcLUE5rkWjY4xLoGBXRUlQlom0
euIwHo0KGU/t3pIzD7b0WN3WFOVUoYuqz0+URj+n1xuTz9PlKmdfSttSmzSg/FeNbi5pWzMzHzj8
R4G+JCcAp5Kdsakm6V2DEynLJs77BiFbCO5+D8f522/obUr21zfEBOPjg69/elz6yKljZNHTQV5r
G3877ZsbbU0f4VAvlH2zqVzhYWpzx5Xm7sSODu9yuJO24AbW8hqSwir+PVHub1/Q/PD89Xp+vGU/
TXV1QINWNt+yRbKFo573S86D1Qph29fPxnzrf3WdTwueHWVTGoZch45NejU8V7PU1iVCxPR/MW39
lB7940PwaRbq8LqE5tClCjUXPvewbAdSjRFUe+SGBIf+V2/tZysgbBTcrzbp8sZnSUZmZoNlwTA6
9EBl8umxk45ff3Y/WwDfX+DTZyfnBLl3gaoeoHTNBWIvwSv7ldTsVxf5tMo6g0NqKeOag9OdTNWu
Ma9U8/7r9zG/zs/3wPv38Wl5HNmrBdJ29cAM2B3SHvYtOdBnM/bg7UL/0xPe0+hJFHXx2vyf+W9+
KspR4MVt/uvjv9a//3vwUswj1Q//ggKYjvh5+yLGi5eaLsOf7en5T/53f/jHQPYKVe+///XwjA5p
GdWNiJ4atpcfhrU8n39fHp2CV3v6+S/9WRa9kbRtlHfz9JS2On/f97KI7AnDUlEVAfuZvTV/mW6I
nqAqcphvcX+DMfveon9jbBO8SBGD8UOV/1lM4pxz9e4OYXXU59mu6SiKyt/1O8f1XTFRFRU2rzAO
j1WLOH1TvfGqDeugAEJmIhW8wayJ/JzJ1m0Jbxhj8oy8Jja4EStYNKCw+zcsNuiDDfBnzX8ApBjL
Xt/nqXTCmyavVMH/oHj0ZKTgqCd5lGET1MO5fGnVAdnJZHDKcdPaISOdToHFIawb6Vug6WV+MS7E
2FoTzLaoCjcWfkqgESTNL7QBQOmmCoQTu/mMKTCrPhWHAMsnakAGDJYX0M7AHGubmHqbVnoxyJVb
/6/c++uXYpYF1B/v9f+fb/1ZNvP3tz4nA/QOiwfx+PAzlMH8y+8eAXSAMI917mja4+8fAfk3RA+y
Y6oknOgEsXx/BDTjNwV+JcBjOhxglXTWxz9PBtpv+NdMfE8aJwduoX8kcvi4m/AIOAgwaPHrPIk2
SHte3ft6WguJdm6w8ZyFDKDqs2G4e/exHH9fbt+X0/qn/XG+wvyEzzBk1gFCXD7tj61f641vDO1Z
Oxlz6sYrteFZ6scXhmheGywSglt7meka2D4p36rw9kQVe61V4r6XTGw8vbbOLbGRavkqbsOVXpfP
EihkNHR7ACODWzdJv5jC9KB0ipHsadlU2iHAA9Uj6YIMyYfoGmGVUeUU41QvetnYDigNgNrIJCZl
ockTHVn0+KP0GcwwQWqTkno6PjmOMoF0G5O4Tk69/tSG0GcbxQpgpoTVCWFtBQQF+4ApWPJSW9w6
Auo++jk6DrpOssXQK7RRi2alCJpbo8hPyPe8hza1h424dJxs3PcBaRRpXmzyvJlIKa+ufCNda1ME
2Y8MmWnK7yW5NxZQ9F+zRDo0A72tGvfyqsUPBnzg0qIalWTi2CvnPpGlTV62u4YWCFl54/mQAHSl
nbgIJrGESr+rLOvBV7p+QesDArO0bJPooalxCNaWvtBZB9MgPkio8Wn84wBW73Bb7ZzW2mSVsdfz
ylgKtTtN0UuYEBVFSS+e5gZBT863GEM49uv0KHyqu3oKT5pIvisrgplHKd7pkn4FZpgZwUSHWJv0
y0hDtRrWQ+i1drQdUzpORozlyY/NtVwh0i3M5L7VCduTmUSBvl4wn+hW8HR2WFpcvII3Oj67PjTO
zJqYj2Y6JJF+EWacvVo/W1t6dxr2YluM/TYY4puwY0aUOf0GkPIeFvSlqRSwO+L0Rs3rb4pvAaZs
V4Uwd/ZkrKRB3JM/QJJB46wlrb4rePPqmA1raZyekxSDkBW6wjeWWjLsSyiwi7bC6aSPNH0agK3E
EfqLwLTueQroncd3gT9rLEjDXTHk4rapXsci3thgVXWtvJ8N7JIkX9Z41kH/xkuieV3ZSB+nxD9P
MrLdwzHYJ/FsuMA4s9Ali1h2Z0YrhW4QBbRPs+zRUegbS8QGePZkGaf2QNssisyJwCKFKbF5GTv6
bVvW4FxVdrm0nJ+euGdcGp9ILTZvtYI4adB0nAPrLgYbi2I7tulJF8hMCE2t9pwUBodK5LXX1+ZZ
0KimFxkmcyqokE7l4x5wwD6FOK4xcDOR5vkWHczjbJQgdAGhjc4GEZn7qjTlJUynlsFbGTC8TfCa
II1a6uBCaKFLstdMOmVu4ycXhW0SlEJX8KQ0Z1PcqHLSFicNBKVSL+tt3tLtAyYeLxS1qjcMWGIv
iNo9GzRu+qQEtUumArk2jjcNKgZxPS29oqkK5ExRerBSmRCiVKrPcehhyvTLJ2Mavwlfe7CSasP6
dhpjYHcd8CzLMZX2PgAupqw0lxPTGNyGGLPLYo6nXCiWnzJGzC/6DpUPujNIuzZdbYZwsb7E4NES
JJefwJtgQVR40VZ/nrfs+6UFibOAH1L5G5qGc/agW07NnnjldWgAdkjlGwSl0Jrmw7KfrvMhuddj
31jU0cxI8U2Oo0w2fD2yHssepNM0Vdhf9arPrhIlI2840taaVQDjnQCChvaUQHCKxOlkJ2eaWm4S
pz5XKhOwSo3XEvMUDiFjyZK3VRW/9QKNc3c6dtemVF5laua2GeF5yxornjf2Teaw5rS7XjaL+5wg
LdZfCehpKC/HVtBaRdCzFCV5sPg6xchM2+o2TEq7Nd6pcc3SH974FVdQ2/Qqz7RoSc/B2bWjiHdp
HJzlaO3d1NLsLZ5jEjEL64qoQcheejyrs9S6Akrg+4hrqyvTH6/s3JhuJz+numqLekVnG5lCP6ya
EeJTKXf5GiI9GA9+Eeep0d6KKLVXgz0yVqT3G7Irhc1GB5u2ICBlpdkZkUtZcWd25TbvwYRZo9fW
xUEerV1SjddyGHsdEU6IMsLrNlWv7LZygLkPHfb/WCwLPx3nLj12MFm+0+jVLbVBr25bs1SWZYGM
DdlEcmFhiV0QB3+rDqgYfNUYmJFLDjmS8uh9vT1/OobNkGAbvw89RotKWzFn8fK7ChhTrqnZQZyf
NbPucACcavbnvahXX1/mc1Ptj+tQ7xszL/XHIqCxEIwEYX6WwROvTfWaVelo44ZluRSLfmQ0LMZ0
0+EzT+1kU6vhnlHXwlbzE1aqPd0RAgeS8xALpVnJnhYyPEIzkgf+C1niiPZ4BPSJBAE5ePj6pf/0
E+J4gmCIWHb0CR8/ISNri6hxkvwMFcEiGPH7QtctftGneUvseXdWJYvUctDtk4DBJ2Rwo3+8Ss10
ZMyStjsrCZ+G1qxvNdp4C9mv2Dcwr80eyltCJYtz7BHLEeJFb/e0ucaShUqDABNnGCCn9pzOpXOZ
syu1RXcGpirlKYGtbKjxtDCK4CwiVHXwDT5zlefGzLAxj44xXRhK+pA0qaukQbSe+gp+jUJsA6ne
AIW1J0moK/IhcMdqlclY08FSXBEhF4pkwVZEaROacN/VF+zPD4NloOYhrmCw0tNxskCFW6PEqLWP
T+WwJN1yAJVC7zBahg6zSyUKvvmtkl1VvcH+oQT4pEv8embZbEwFsnHBFqcgIRxjiyAzWT0A5QKl
P9FUU7R078sPLcNNw9qyLt7ZUprxlCubMdbvUoyrXl7mYME5w2nEIE06pcfAY7a0AhCdg5RtRIMi
K1OGHX3IB7QD4dNINqdsQtCz0vBULWZxVF2tmMIDOFKHi8w0U2IbQKaY/5e981qu3Mq27BdBAW9e
ARzH4+jdC4LMZMIDG958fQ9kXUlMKouMut0vHVFvUkiZOAA2tllrzjHncU/O7RdVMvRhvO+P44EP
Ej740gGgS/7reMAkUBIzYLQnS1FfNKcBCUja4Mkkq5wee/QcNhRmMP54ijn6dpzVLjPqkadCPnkE
mF8Nm2Mrze4wq0ejtB81nWZukxsV5C8ZIpCBqz2MUaX2dm+v5FLPtyqLuj8oceXbtcR+hIlIzsvC
i43qBrEmYpCowSzLAZRuYeUWolqb+UzJw3xxlgpLr5SWV+fqnYlCR2+m0EdB45tlQ5ERP7hbD+Zj
Ypu7IVC/Y5ZLscQyDZDGaxbjbeAkB6uv6YVrN6ZB1Cxq6W5Sb1CBHdMkuqli4zq3nI05tY+k1esu
+0Z5ZVYde0Ekx0039J69JDppxETIAbISxZReJMaEJxztSdGkRyXqK7+iy7aKcEz3M01laSxhHtQb
WU52DvAblYAFViNfT4EE2vawt+qER9JTLM3ITMjaW20QJ8ceCSCaXrSBdFeN9hFpgjBmQJIWftqn
Z3qbB6sw1wPRe5EVw7AqSJlz4qtUSOlusudV2YAFyMCRCTY0pRlyLuFj7CXnigSIH7ElLdQiuIxd
sm7bLsWjRtM4bD1FMQ9mQ6aKRnXaJjFvhZ7YG5YdatpFB0kJVqkykLCCa16KLxclQRiRKp+SaMkq
TgLv1lYgY4gG2RlOh52u+wpSNT8LhnXL8l7UufA7qUr8LJU2yWDvZ7ymlhMLd1BC3MUyk+6sKusE
yq0x2JeBrWzxR+/DoTpgqGbX22bSORNLmTyzLvRw2As1qRCBL0GCgibBICfbCL2U1HBKyGhpawhs
aaMir7k0jZUFmIrwPzqnJnnKMEut/kHIcLNy+WjCDVqNgX4gwgIVEX3Xfaf2Fq1bRcEkTpbC0M++
YN+wLScUyZNpbeueXYhVtqg9iKDqg1r5Ymn74kv9WYF/v4JGzpQ4Iu1OJut+3xxhDnhjj2ZnOKf1
UeHE8vl69KGC/nOleDczUAH7dcWOooLTBTNDWb4p1vd+vO6dQxE+wnf9/EJL5tI/5iDKdrpqUSSD
FbysjO/ubGjavkrkfjzNqDJXIh4bLw7UW6MJy11U0rlIx34vBHlypSIrR3uJDzeTUuIwQTrbwN/r
NYr0Q5ftq7HQbBfO8r0Ul+dStm4ytm+cery2UW/GkBDLog3XeRs/F4n+IEWZuA47AF9GFLWb3Oj2
RgL5XlNWk4LEgi3epmg164Hm6o2YcWUTz9xp7S7W1P1MrI4hnPOQ4udm2YaItU/VRfMlwYMnHFko
D7moEYwHu0EQh5KhGmiNHJwhyK5sCJ+q0akf1CV0U2208Iun+mu9BYY6C/37h/qhuJ6aOoE2gT2e
7PE5ml8n+wuf+Fd//4eFQ5Yy9sgEJJxi+0Yk6HS0uy+Gxeej4icZ892ooP2QyqkaTidDvYyhhvGY
5GjyPr/Ih9L9/zwlLEFsSZUFOv7r0ButBhKjzl04qqe239ohZ09yF4/WF29D/XWM/yx/EQWGTpvi
F1vTn1bRd3czQTwcwlmoJ7Yx31jU/NtsHfjSqndj78Et3Ied6fWH1+vYi+7H1Uu2ml75oputtvv8
htWlzvbZgv9hA+j0sSOckGmkXeN28OTVeNNtyOteOyvHy+q1suE5rxWvdmU3Wjm+6Ff6qfj2+a9Y
yvH/+BXvR+eHrkwGTMFWa57747hTV+TTrJ1Lyz03qGj8zYPhHeC0bJxTtB63pHtsbwM/3Ixb5j13
3sBvAn3opr7jS4duW2yaMzwOAAv+fel2J9mbNsbO2ZX7YVvf5eubz3/60i749Kd/eICS2sRoWGPG
pYtbZd28ibW4VfzKI5nKj/x4RVzVRbm5/HZYdTtUSKOXXEBHvkhOocfiAwTR/R5495//qp8d8I+v
9d0DNT90yGOowTXovukU7Rw38uYtEWq3BblOWKVc0w3c2oNYvkHEs1WfKaStPr/+8p388/J/f0cf
ZhumGmlqxDSe5LlcWcOwn+Fg9R3qqM+vs8wqn13nw6xjI91DlJVNJ/bUbj98k8ftYL5O2qqSW0pR
68+v9vtX/dddfawoSzmTv1El3SlCBDkF1yK8+r+7wIcznzbamWnmHKBSY68m1AEdy//8Cl+8GGv5
EN/NO1Iu7MKa+NBKcWrydC3Uxxki1ucX+eo5fZhFGyVrIKMk7Wlc3gr2PGdMvM8v8dV9fBhgXTk3
HcDs6TSgFo/NUw7NB0vt5xf5YnRZH2YlMwilieIcqwEKet0pVmnWnjWt8yzkgsmgnnpcWJ9f8rf3
ZfxMwsB6DNbj1/eDK1kLRNx2Jz3/USfrVIso8m0+v8ZvX8+7a3z4aLLQaaQq0seTkejU76/y/Iuq
wlcX+DAlgkEdtQRH5klm0qYYnZIL8/ktfEAp/Lmd+etT/IghiWKaPkHGOOZs4FZeeAGy7MgRATWJ
F63Cc/dl0M1CXPx0rlnu+t2nA2BIg8QVsUY9UhgumFWPIdd2hxflMO9693L2BP/BNVagj137SnKv
29Wyql8+VZfaBad24shXU+tuCy/afJXD89uFHELXX1uXjyMnrgdZCfjolPOykEtus8n0XaF4brrR
/YfCvQAZvP8hv3I4q++mPZLwL2avxVH96RP68N57qcGb70zsJXzgy/4C3zNdZ5/5187JPGibzn9S
18S4U7FdE2yx+Rp38dVPsD6sewRvIlcfRHuS9qU7Es/lJt+NNYmU++5t3IpVfrA2oK1/hE+aN27S
M6Lxt8+H5gfp0z+GpvVhnKS9lutNwdCs1+O6chU3XnZ1u9S77XcYtJHWu/MJnu0DYX5+vhYb67Jz
a79bEa/qRs9fZVX9PJj9Y438+3P/aCa3JYfeUMGUUq30jbmBATau5/V8iPeK+w143Rq/605sKeod
MKfcrdC68YraTbq+if1lk/A/m4P/17KV//9a9yqv+t+37o/lb0mx/Jm/OvbWH8CvcNLTlce+uWw1
/xStoGcxDQWEDDnEiHIN1rs/tbz2HwjXVfw/RBN86NhbS8eesD2yB/5zLa/m/LpL59BiAyYwoc5C
J7DQFnzYPDQzcJQO/9wp1Ir5UAFCYMIrbYTrvjSG/Ty7c0BhxJVUM8p8uw2sEtRpDia7i5OfaEc5
O9qLERWQX8g1Qgo7k6RTZO4wpq/IX8Gvps2DkWHub0EePgwd0HR/lkN0+DgAJEfsGr0mgMnpDXNE
42oBko6kMlxbRi153Vg8qDK2Hg1KfFtYtts0JB1Vvdy7QM7pGYVSgyKThj4WkbowyQbO2ahP8nUx
LRB0hVZeGQiw/Pm+qIKDMoz37GSXkjKaW5wxm07ssjyE6xfiyY7NJPZSq4VzP1qwyW0Ybl0wczAZ
5wfqhpcY2TqI+JqLSYXK4wg5Di4Q9c4cbSq+IXUxrMdd/9iO2HWUMNvnsWxAd5wum7KY1oPZkzvZ
OSTakSDiadY8+mnLN0zM4byajJqGpKyuCJ6d/KTDmzvY/XdJH/dwvumeQor18kD5Po6iRJ9PTV+u
thRWMy9XskNiq8KL6/q+M+DpJ9VwoB/QeX2MC32mIEpq1LqyOubsNPDyxXoX1IHYQTEK3VEvT4la
XpP+7gUWBhvS/SKccBR2mfNwudC4fdUxKLo1hc1Wg72bpX4W6ZLXi/BCD3I6+Bi3MIIhtm3HxK2z
Ml3bk0XigdYec2lW1mm2hKISEqyE4UNXEOGYlg6s7YkOnWSGlyiR6DE6FCir9qLvsK1Wcv0QIrZw
Z7bQ06TctOG4MkcoFsmobNMiuQ6L/hAbmp/S7XJNcyaHycB9ITA/b+s0iDwZ6S6kAByQlfZWZkqz
VQSeZaMoiYYq2k2k5VDJ0ztASPc5FlMku2cpEuAinZTGe4Ysys4Skh5IGrJsOrbQwmXtSRZU/S1Q
Ev2Q3YypsYNZj9t1YYpGNnCwiT0zA12NKG0hTtGcWd5Gw/BQIKDxE7V9GIPhXtGbW72hfI6VZFNE
zjlpDCymIG2N9nW0EB+QMjF4nZUK3Ij452zI51rb3QQJ1pUyUTq4leEubPRwW7XVNVLlJ4ioz5WB
z3CMsU06Sby0f3XF0+Xuro9lE+QpKdalGV1IUnkhW85LMcMzlcOKGkmp3FD3Wce1fisaGa1CeTnI
5O6MsXajE2Di25FMgMEoncJIP8aWkDwtpYEZZ/CRrWJTKNNLHs7jNp3CbddjH6JW5niFlBaQXbOS
OnTxlBRLatCSrJ2Ns7135AntsAJUUZ7rQ0yQVD5ApQ/UTF9hizdR7wzrrJnOiqLDP43g4NfVSVjW
HazP6KLONfxdyviWxs51QsPaNTWBnj4bJ5Qj04+hzxO378kNDkJV9yBe2WzslmBki4ZWQLYP+Z8M
HVmz3FTBB1WKGHfMVBoeGU7bNBxfzKhlBTWLYjWazrEzqqMi6W8plFq/HDP2X8CcPYO0g5nUg5r0
g7CMt9NcPhU/YxHIR7CWoASBYVteohPsUcK815kgWVV9F7Z0BOclakFRk6NC9sKEgX8ii8FyVGCf
wT7Pkl3UVjdBVP1AttP4RI8cJtIclu65WOIdtAmlhxwR+eAs4Q/1EgPRkwdhLcEQCQkRxRIVYS2h
EVmDo36JkRiWQIm4H+6dJWKiKyW+6SV2oojTp3EJohhJpEjp87i5rZUc+lTSQsitUIe3oSbGwloC
LYpJ30dm/jROPFHFgWQ6tCqx1uU9bsLFBSfdqzrkrZC8B9r0gEI1cKlN+c1R9ee5ln/0CoNBFOat
qHlhJHFqvpG1DVNEgZ47ty4xEyMXCBQszYNEwnx/ogtEVJwJRDw6z7kOBEtfQkl7DAozIS0Wjh0f
u+muK1NQxRRJd/pg3KgieIwskozrLH7LB/yVgT6Qswl6atuk/R2doNmjoUSzi0RdkLM/Nwf/3SUt
PfpPd0ntG8nqv5H38uf+3CmRFglSH3oaNLh/SRH/2imRFol6EXqXaZLW+DMS8s+dkknEpGMC22X1
fyfuRfNo2TYaSY7bKk4lfuCfAufLf22k0Ub/e6fBh2LmUtvV8PM6pD1psNC0j2f4XGQ6nlWbooQ2
92shBzq2UevJAjpTWt2D2pp36XwVTP1GrZSVWtlXXRveBdmcerDHNQ/TOWFp09E8JKH0TRvSuxxR
Bs2GOtmg5Hs1W1j40xDuRJ5s5RCoAkvL2lDqwItIKPNUWXmWil68Km0Rk9ubDSumuYCgooQ8ktrc
BmF9UQxAQhMtesghJxeT8zRDV86EjYs6rl6mJL1yIu2lNpXHsZ9Uz2zHxaZfelOUlr6okn3XoWgz
KFY9TLL9HBORsS8EjUBlMJD9iuQu7bJnBCrzTs85ZTSkhRM2uZ0r9blv8pODUZM+2Q0Jhyldm8op
Yfokw10XxU92LG0HuXxoaim8sFThO/i986I/KQlnJuox4xSf9I5MugkZAOrl76Voz+weya4xh5MT
D5oLcWGnl2tyB9CugeZWb5ZYYQjkbfpUqRGTn0g2TTMvKKrez3S40a1RAwFKVNjIeuCWRtPAnHKW
BiGCg0A6UJkbtmWLozaIu9VQJteioS8qw7/SiZ3y+izbVmX2vYbc67dqA1qolje1OUee0XeXk+1s
5YTlScabuYkKGOQxmP6s4HoZ6GwjnMFv1K/yTEhnIwO9xMBbwhwmCs9Zwo8O0JFpcTqnXOi+mRiL
DCNBxhkRAW/5uMvpguoQzTPZIHgkYoIPoZR75oAfO0t15NtWQystbkFXWDhPp9gBf58THNNaL3g3
d/Ru23XXgKqQIWCp6nQ1WCiyLAVaaaV9m5aGql4l14XCnjnizUlCuzNQu1Z5Vq/w6NmHSlJ2mV0e
sX0/9/l4HzX4lSubJM5hCvzZNFkukw4yU83GJE3aXT+1pd9X6UMXowmcbdaAOMqvEO9qXtqPW6Tu
5RpxK3qwyRzcFMeUSms7sQDL5+W+FOKs19E6NeUNUhLQ6uynRE8qwpRpNwkaVgS7+1YZjuXMyYQA
hgsCkg4IDHZq3hH4h3wVJcJr0oQ7Jwo32Awz17SbW8ALN6KT7mAC7+SivOhIli5Nc5fK4VmSi+ei
ye7MtOKhzsNB1+q91pXHrk9b0h6J8Mz7zRjEB32Bv8zDVjjlTlnoi5OOcj66CHUZceek7QU59kMj
X8qRnq07lLJB2D4OGPmBCMxsq9qz6JCVIGa5IBH12ojFPo37LS0qTP5ZjsmtV8/4TY6hsCDG96RJ
TJZLPsVNUzYPLIn7YEyOXYQiIJyuC3R8VOOihzTDYj/ED2FqbYyw3OZmbO+IfNoAlYgYHe1RK0iL
5LwJMSzcccq8yqUeSalcEcha78iQfZRHcrVtOct8R+2uUcIeuiUtc7bouIM3fMRFsLU61uqp9dVx
5nBmF0ciXp9n29kMEtwwh21a3D8VdbdtDPnH3FAuBruzmpvgMeYQzNFuhmZ0reJO8TJ7yIiiLA3m
vlEDXKLnM268bO+E3UF30t3YdtT8FWcfRdFZ77N9EE6DC0H8OARkkMVOsQCECOeuMwRKzqYqnVNd
EPVlo8zLK1lBSqrcx/jtRkV/0FLpRDntBlyASWan8SqUka8xxIg57JVQehjl/qwRcivjvIpMi2yx
aXhRJY5BsQhJEIArU7W8i1ox1kWHuAk+z7PQtOPkcPxt43qblskmLcRANKpyTyzARdX0bhShh2uk
K9gViqfqtzQ2CI+fX5PMupnBfh0KoxI7OaT7kBdHqZADTN1oxmfjWRHmxlIDV9cGY5u0pr4a6lHd
Limzqhq+pewQsXks2BhrOigKW2ZFQe4ko8y0KpRZDArhqSN7ezOUt02Ob3GIbyqO+lMX3gZ1swU1
w8lvsO8RIW6459twyh7aKqKwpV+mi4ZWBqCSmBPTyrgx9PI8tOFtLM/ExJr9ViLnvp1xATbm1Zwp
AIIcHg1eOQz52OWnq75Tb1LQaCsZ1B1yoAG8nTJcCc08NnRGzBWwNTVbdUMV3xtY3Zn8TWuvFphO
c1AdSHJMN69IKIltlKIpNQqiaFyz5pZAwW3ZMG6ssHAQABo2KRp9sZqluFq8nLEb9sAz+i5/7cH+
EJqbrFlhCCqxNSSSKGhHtLlG2W6DiAStMWtZYnqnv6CNjwEWik5RNwTOEEKXTgWgkaRWXChx9srI
soe+JD9XnswlkdUu1giaLMnNE5OA+zw8DEorzkWltI+JYkF4MeZaWnf2YFw1Q0E0tD0jQRsynUxG
EJAK2ESkB7MiHci4uehFfKna6Vofk5Wlzvd5FVyHqJO7SiWfB+aMmtnoa5TqMYAcs0DuV7WCxLZP
x02H1mqlte1rn3SektpPeqAd+4HAFYFwGokT/gkY380tqtHJt63ohZn1XtbqLQlBZ9kY34JE2+MI
AG5HnjEDqfQaSXsUs7G34vwYxJnGDjlHWg3oX5BS0LFEYysiJKIOzgmFjiwtr9uG2GFYijsRmgdj
jLdKPUOGEjv08mgH5dSPLZJizUS7cob8ph1ZMMpp8vOiuC2yoaA0ke45dO5kWTqCn/HYCm3Usdq1
Aer5NNqFVrXHr/Bg6tqeoO2LWmOl1ex1aotvHIxXSRpejQE7hYnQiDmIVjWnYaNq3/LIOUgFMc4M
unHs9uCMvpmaHLqNU+xKOb6u1WQFSwg/APUtLSf5bZRvmiWjti0Agk0kW0xWuJrrASADEsMAOUnn
NOs2UbZ5pz7CAYZRpIxrIpkp7mD3DhiPcZFVzO7pY0avifA0TJ1wM50Uz1YXZjtJJPeOAxvLni+h
M9AhapXbaQBqmYiHEk8/J2cVJX4ffw/qsodPRLZ2G2knbCenINSeR7lFN58ItHbWJnHinRPLDlby
YN+n85uYjFMr8KEwv7cHU2WwhOVgUFmiwhVNQlkFk2mfS6W8KHTqCRk2r6iVrzJdOpAqvITbaesG
shLxypHi1g3JAdFkPhkDkTwOMw0BC+NhHG1yUYbygajpKyGZT6qaBGsRV48yWRdYJrt12vQZaQjc
tR0oW2eZeqCxuKgyo21YZ4kH0vMoQNSloTSf8RTshRLCWTGR9VR1zkkR5VA1VYWv8280PX2lR1IY
j2KTzfmOmgHy0bY7zPWyahv647hoPRMgJz72bbIjJv2kpPEpHVIPoXe0s6K5OQiCM9x41FDqZOHF
UAdXTpM9EYakb5fP3dQWTHnBao5eXnuyo5bAZv2KOmJ8cACs2IrYhUK+VckFnEtDJo2lo5ABFC5P
D1UobzpLr93QyH8ATkVEq6kcZu3btC0vYk74KeXAPhvGVaO2j5NSXTtjVaCJtE6JEp5yK1lnlj7t
izG5rzLnSR+1a8IJyr2hAanqQhNRXqs/zTn4DzRSCz6OGkzPXyxVyroEgeKLQu+3SZaRnEUQFymj
ei5rN+C7VI4RdU211s4mXaUUp5nSSlViPO7/cXPXMfGmWai3OEsByP6106bGsgwdrojPiYCLXByb
eXQd/ebdsfJ/zm3vDWJLh/jXtshyEVPRTXh/C4j714ukwVgDTWpiRPQ7qTjKYIwWl9Bw+/llqNn/
8zLWIsXA9UnB60OjOpBlh1OAzMZd/TGUd5L2H+uuFpubIquQKHlcH59V40xmWZp5di4GBtrWDr6Q
of/m9wMXUXlCPKgldu7XxxRaS4HWqPKzzbnDuDScL3rF/+yq8hrePZ8P71o3U4XyPc+HUEeYeqmy
rjHEUW9/yxL/81fxm0uhKDQX+raBhtn58Coym3rhMJfpGSUoYSmt7CIJD3WPZRhR4efXWn72h9H1
y2tZ+vzvmsWyEue9ZWbZWWge9TeDc1frM6dO/frzC/3upt6//w83VViJQ8bIvy5EVRyqxBitWUeW
pVh8MdaWH/3xpvAsLwAA+OjqT1Hbu5vSDDATLLzFudHWQfbSA3wMvn1+O78bbu8u8XG4zeA3yxBM
8LmwX5LgSZf+F8PZwVGByxs3JADwX99LUoEr0iW1OCfMgBRws+l/MXnRIZNxtGp8NubPDvW7h1RI
Bft73H3n2XoZrFO3dHzaL+au3710BjE+dX2JKl8iJd+PLsKVRYGeOz8TP0UQ3tJxMa56tPi0yrQv
RvJvrmXL3IaqgPQgi+PDE4sCmyJbYhTnaDlTr+IliW8FDbVkj3X98+X/t+S5SJj/fcnzqcx+A3la
/sxf5U7lDwBEMIN51baDHejvxjDpojoQATrDnBAt/vF9Yxj/Az1hg0qksqw+f1u57T8oUeKK5Eum
Owys5T+peKo/F7G/JwYqnqQPsXlejGMW/RCHH/F+PLb1kBSZmuCHbAPi121g3EF926p55CUqx/9Z
KcrbuFeys9rm+U3TBbiqZQWWEVlM4AgQa5KRTJ9W106L+XzVZvnoTVbyps0moG0+tz12i1enG8Rt
OZXNClTleOmQ7uflOS4Hh9BvGmP9kXQz1KOF4/dxVJ7zkAINSITwWmEh23TYrVYhUWl+oyh3OV7r
bcYWmy2wthEGoWuTfRtWHboNPYHYwtHqnMVj7ummgxXaBCS5HH1nNb6r9KE8RupUrFvilz26VdhU
eARndEnBmv21QyWwNM7hoFJgzEEwDcIiojjUYK8VMzaJ0IIITHdUJ07SLbr80FXTJnWkpwFTASGn
nUfQO1vcSFzInb5KrVBeqWF/kdbSvi/te57msaRTzeSC66I0u9wt0ujZ6HXqhbBEMV89hJTVaqMA
XhqFdC/C+KbVSS3TMgnGZqFYnhmG23TGBi6Z+Rss94xIR/PCrDk9tDA+oQMlOEEkI1xHwSATCDfT
i2Pj7ZjippSCk55Nr/Ycb6kxYz4W2vdgai6lhg5ranPmrtulsourQpvZTs/BfDJKXmkr2J9Pw2Wa
a6+qVj/MQ/pNCrDjlVF0wdngbJK06FpiQT6GMq60Qd1hXUMk342NP4TOGYtt66m5ToiieSjH3Kaw
rtGlUqInEc5Xuq7vk4oylETZiR5VinsqWCqhdpXaZ430Ve1VphMw7SzOnisrCvdSALYWVG0d+pkB
GiiyjDepgUrb2dhkpWlNCgHeNCbCo9xnF2CnavpZWH5V0p5pNiRketJ+DmQl8kODPOjJICa2wq3S
SLN6XRsGYZJ2jR0gTL9VqtAxrsXTKs5JMCgTZy3LaeJSseAhx02wQz2LqM0gQHPgA/ew0221UFxn
RTEysvXdaNNvgvgh3xYRFkVyuLdKSfh8TQkd24wJSjoACanD29em4G2CxhzDlN6lhnFbt8Gziuff
s1LNsyznRE5stht0g9rJ0Mnkcps7Aiv1s9VCXaQc1HpCic31WOs3fVrSAm2NA8dtMFv0DTxZMi7q
rIsvlKncV3qm7Koy5i21yMe1x0YJztIQknhNb1CnaoRzmmw7J683DelYGBsj366y1ygzqO0JPnU+
EyGsccltfRZRc4GuQuxSiU56FivKORqE5gedFF3TqA45gZLBScbaqa/oxCaOuVInh7Ju0TPOSVog
+Xq8mhSad1MlYBBMM1Z5VQ22ctVykiGSaTOFgePLGNx2oir2YSTjrg877aIxw/miShRpo5dYP8tK
XJkS4d1zOl1IcvgopFy7VBMMasx+6U6KgWVHqbiQSEMMxxBldyKeKvJBfzQFFIeIz/jKSpI3XCqt
iglKa+t/LdX/XT+XgJR/v36eXgS7wH8ghPgzf62f6h8yJz2WQIvsLWdZJP8UVrF+kmTGkgbHmuVz
4Sf+2S60/4AeBJ2ELiNtPIAp79dPxdAXQIq2xMj8h8R+Ft5fNtbL+klPkl28STsTwor24bRQQy/W
jV6dz0I0RFlyRHdrh9wIYUx3SlJtgiVhYwAKHIjuVe6C59jEgiqP+r4xggylh3TnYDKUjelozARM
GsTtIo9tEWnEZzPO1lNgX8pZCDsU9g9TsrxJR+c4aMahzMuNHTrbLlEpyIHlt036kHXI1NaaA57I
slu3mvImmcUekjZJeb0eHq0F6S+JNHDtylhNKs36SiIfFuC9bAx4H1X73hLaJYWzs0F8jdvVBXYx
rc/uU3OChZBiqjWcK8z1kAtTrzCQikwGqdhhVmLab/W3oQyT4zx3AiIO15mMfjNLdQiCAKi6SflM
SuU1WHFaJhlxBS01LNaEUGCmDdOVKgZAHMtkAi8FYqqxdphlQoAQ7TLtiL7ZdD9nolJPNuMyOVly
tC6HdFsvqo1l9sLu6tfLfKYysWkyQFiFqS5Y5jy7lvE/p3TklvnQGcybapkhp2WupPPKXTjMn4j5
ceszo5Yz7FtjmWXZO+HX08jZZv5tmIhBAt4my8wcS9pWZ6rmlF+4OUGpQHNyv1nmc3WZ2SWm+HKZ
66tl1qeXCJh7NHbUQEdfZ2kgn2ZLTrflRcuqEc6sH+WyktD9AxaxrC64soCsI8abl5WnCtChQN7/
VisUOPtKYZu1rFTOsmbNLF7RsoqxSYt8qVXwrQ6yk3JcUnMCvYNiZ8Kb2MJ5wjUp2elO2IY/WjoE
KV3XXGo7yaaFtV1ta1x7wY1NHMOFYkbfQ6kUACpT52IWUYzru97VVXhLuxNFUatudUm0HuenVRN1
xqq3KZj1Rbkv7PrYNPmPcixq/PYDQUb9o2horyDguu/UKqFO7WheH4jHvrHlldXMh64YD3kuL8z5
5Gpu7R7vS7hpB+OIgIlPQrpvBwW36zBvE5XKnxmy5pGz09mEc8dI2XCClS5JOxtUhofMJIUCG+oz
yNFzL6d3zkgXOTeCXahWqLom2qqJUsWrOgH5EEfFiyOnxygkFiILo5XsOMcic7YtB1xvsKTvcRDf
wfdkmZdwdiWq/F2LxX2f2r4UZsC3bFV56WsDiLb01OsL+L2FHjkiflEmM70yU/25FeQb48W05mZP
6Rq/JEqieNbh4RvnsSzVI77aTSbTHxKWuddGUDY1FWhJja5hqpBEEE/PqnWbSit9svcijtdOD9wv
iOLaK4TElt1iL5pmVzbeYMRe9ZOQ2uvE7AIUWvNlZBAZD4re1wY8xYDuJcnczg1sojagVSzXZNMi
dXKzyDlajrOzMClDIfM6nbeuktzbk92xSfP52THBXbcg3E1oaAapN5mUhB4+0EM3zDtHxK+Eustu
oCi+nQ8OgVbJTZsZr05NQjO7QjqOlXUfSm3hKXnAR4wX2tWilvwn5kLXmbNx0xQQdP6VhvrfFXcp
vPz7Ffcy6/KX5p9r7vKn/lpz5T8Y0xRBfsao/RqRA4EPjY6FdIcy0gLT+3PN1WVydQheAwtmaLpC
Xs7fa67zx0L0WrhhChW8RcDzQZXzmUoHPdDHNRexDwQcfgWrvI1S59czqw7KCWzeBMQWBVq6JS8K
XC0HhGMSZJ4+N1d2ND8EaN/Uqs02nDoepBhERr7kyzCNAMERbpyOd3UropVW1ldmX24cXd53Ab2q
fNxpHFbmbmsk0lMZhhcBhyg7PCuJEx6ZmYknMCbHtxRq22mDssGE7JTppHMisYawFNhPEP+yla1J
LRvn9mkuOUSqUO41o7+MhxaPWyHF/Hd5P/co4VRNO2J5JgTCyu4LCURtXstvsWh+wGL4bku09Mou
hRqljje5PQ5ErelPwyQ91LNuuuNc+UASbBLvnVNhTtNe0tNrU5l6joS4KEagUAhe+R+D5ocRdDr/
Y/Ot7hVIOaWKPjVeuL9wTvOormhsaN/k9NGYLqPGJCON8DqCS7bmkuMbWG3tD9ow6Z6RkoOOUkVj
ChGAA2kMa63zosQ6lvl4JNAuKvoIIWGRbpGeVytwRKQC6KNYyQE5oJRMlkaI/X/YO5PutpE0i/6V
Pr2HD+Zh0RuS4CRREjVLGxzZkgAEEJjnX983lJUuZ3VW9cl9bm3ToiQw4hveuy/f6vOcIQwZGmPt
gi9HnD12ZxQwBt9Y3pyH0hIIt4eaIBPOVlNF4rQNwSFJLcByFeh2Ze0+l0tjrsaegDK7sf1VWdIc
dn3irCCfyTAKIoel9zifeTZtgkmEvhHgH5LSLY8BG6VVhFD2FDk67Iagb48Jod+7qYnnFesgMgpq
6I7IW61oZ2T9pxmU/q5OyA+psyjeg434PnT8+kw/qEPkp6jBa4qwFOHUHrD2R6CV0E3qcQQrwqPa
BPYh1wkRYEqQ3/gWNY/RFkAXtTkNA6Owd3ZuEZ4+tM7OT+oPORnBDqEzDMhGy2+IOoqP/OTwx0Rj
8eYrTII5p/o+0klVbXW0nYVJBosFuQ18m4fhUcKZ/F7NxD6XLaFDraJedL7WXIxeOQJigKAcJIjK
KgiCuwqNesgvj4io1vlE6gvhbU4+kcFaO6X5T1b6IpFVBVXCVefb33WJdD6JYFSOEkluLNmy1aSW
hFE8GkQgRYW7EQWacj5z8bHhvtyPS1Z0YSJ8pgyT5U9cXlwdnznieXAThnkuDXAVzKvaC7KkdCQ6
VQrLbbrPNYM2X8+dVWEFGYqy+nHWgnitL8ygSth6VB8Tmq32RYvrp7xUcBM/GMNELlM4SBy0QieC
wJvFI4OtGwHp6pWu01uZSZwglvDRY1esFMHiQI0DWOHC2SwLrz4EvfuR5MNrr0fbMfaT9RRon6Po
lLw8fbFA1aFEe55cQgBQwsKcko06RIITPwrYUxDB+ZxqvSrOpX+v+85NbSTHCvDRqmjKK0+3f5hu
8DTk2rQxmgm2f+Mf/KbZ45e8a5fgoU7cKNQ7LmHmXGQnzumKQmTeWSZbPFEgFfHJpB/jlqIpuY11
/AVezJSph79z4ejL2ySQvI8F84SSYY0XXfsWTI3JgoAFNJRPCoMRAsjYe6d5sbJREX0XflG8ulkH
9c8a2PTbvcUmN7CPLhnWKxtSC/J18HEt/BWp9wU71PqmHLU7t22VGDlLjzEykdVUxqQxzqPPW9IU
2K9zt9XEmRSVY3yWbLCgkSGd6dWHZ9FJR2CxK/Zd5SShiNJgR9xSepvHTbXxTaQ2nDD9rhVuvNKc
KdhVtjGHi0h8PtpIQPTIm3cTSUJhROIWEgRph8EiUJc3zieUmYVImOWApuZaR2UlLXFJlK8MgbOY
O2tEYm7pFd4qu023DJP0XR4xd7SJNNyb7uRsRIW0IskXFv6puTOtiaNe8G4TyafWHKmhCICJCcnI
ASVVnFJ6HRm7EWrA2QEZtifqJV71wnB3mqBTFHJChhd3eMolhT3HVP/3cOG3YFiVJf3vS527tx/N
m2S48CcjevXKn+WO8Y2RoQ9olUkkAwNa/J8jBoNBAqL13/+GV/1zxEBeMbcylzOjBjWH/0lb9b/p
lEGGR0StSgvEjvoXyh28YP9a7ngUXOrdsSlgS/CvqcOWGIoWNeh4PeW+IvykYOUGsHGVGNbSm7ot
eaItn0vHHl5GIS+qlo8EMFgPhl9KBtUcA1kofOM2jt2QhlWu5Mzg3dVT7ULvljcnMhfQVN3H6NZt
6CGpWVV5dGf1mntiGJcQbWnVfFyH+oqFfCji5LEjO3SE+r1NA/8oO/OIseszm+bHMZFHz86u6xzB
lGHugxTHQiC4G1JpVaiJDGSGs4WRUbfbdRwA9WJ6+SE8+2F0tdds0D7GgcbAi7A1TeM8EaIp3+Gw
xiswpVedPvScjgXugYwpwRBADCAcaoORxYDyh19s6EGE9XP5mMjybLpx6JYIjb2ZgJa6BzAZN7s+
PsXpwa2s27p1kTVGH4vSaRY3roGij2xVoIHudpnEk6zJIDWjH0nh3A8Ok21dfM6xXW3S3Dz7zTyj
7eUGG+KWfpDJ4NwTPtfnSb6dOnxwdcDZ2rjzncQSQWwMvB0aXLG28gTNbcG6YyntZS1TY1m3ES46
jsV2Y3dM9hMIllLDd9trQoHWzM1k5lxesw2qMiUPyik169TUSn5VUslkiFOODFluy3ZCesJafkdv
dXDYZm8aq0tRxAln30fBnD0WsebFJ7Nd5BMeJC1Y5bKu+PENy3qyKGeHKaVScfzPFrXOlAzXSdcg
i5Nt5526qGuD18ZZ0ncsPp6GmYfOOLUNCIpoIa89naEqtxXiJ7ViqdSyRaq1C2OEx6ZLpz2bqNdM
rWYctaQZ1bpGq1jcmGxwgmI8WNLZEU3WI/RhLtKw7dF6jt9eHy1ATkuxIyUtvpW2rFdeyza4ZWNU
q9WRxQ5pQjB+zxPAGMv2SnxxrJrIMWtDX62fYvZQrVpIeZk5IEpLPiqDamGxZx2NqXGlEV/M4I2d
FimG4KGCrt83auFlIla9q906vx5Kr7jP1GKMwXrCyISlFjuzrnNhGKmIlDh19pNLPnMfaVzLSIvZ
CM2IKYNorZEeuJb44EInRYrKqplZRhq5x27W36aoWtfJ+OjPdsWQSZ9X3JliE9sBVe9kawfiF8fX
TIwjEt062qR+V+zwBmY/Mstp9znKSpIn/GM2JtN+YGYSQqBV7EyGHivXCZrzaBnRJXxg/+QP81Xr
esEqIDRtDdqTT6YcWJ7p/rTpwNqeNH+BGGwQ4JeBeAy/juG/W29l0P7399H9R/Im/2TcrV71y12E
9oDdLwxNl2aaW+XnXWQxCQcmabOxNfHBcE384y5SrbdjEocOQwA0PVjZf95FwTc6cdRLemB+mWf+
0l3kGH8UxzDutrHmGOprARh0vwbrv66Li5ymFTmrfz0ESdZuhGU9xI6+F0WhHfs8Do2OA83RhnkV
Df2BA9xYldJ0Q2MIjp2TuWtk1MY2FoBWtbLe9UKyQjVSMmldGYq++hGbE0tU0PNTtMNy0GsbS+sf
Wyiwt7MU485tXB5ie3YPYvI2bg2nu4ICeHJMu2coasIZ8ozvHa2uHvXdnlnyFUpPZYNQLWE69bez
MZ09zDbnupL5Os5GwlVyNqaN7xK7hbllFfdBBeKyClagqwi1y7Yi7rW9IbwoFKrFwQj9bhSQ+Dft
gIC5K8TAPpPONK5IPO8sbtAsKozryGQsPvUFf5YExd6D/LtCjH5eVIHdeDqltiq6F1V+N5ZfbwIq
8pzKXFChT1TqXcMxh7X6rVNFvKvK+bIbHEB24haXyzpzy4tB09k5uBbQQMkieknAnDd0CIBkGRl8
NQ0E6lZ0EQHdRJXo/sGplxsU2vOGw/jJqr0fJR1IrVqRhp6E9J4bp4vu44FmZRybzUD30tDF6HQz
Tju2G1M1ODSq3g686LMY86NLDzSpZmimK5pUe9R3zKzpl5wi+KhUA2XYTI2FaqoKkG/Ksgi4WHVd
aTpix1SdmElL5tOaZapHG1W3lhfORM1CBwdXEmtw2z65NHe+O61L2yzDDFozIwOO4opWsFQ9oVTd
4eS78aalYUQYuUYROVjYH3Vy5Ram5W6OZDe2+5uq5eLXvZFsoKX/QeP3PCTZu4wLextZxnsVZWKb
TEl3LCJzFWm+tY0Lb9i6E8m2S42jIONx3fVoBHEG2ZLYHwONbGVbB60Pgl3sSy57v+SDUPqfsyDY
J2u/W9WIzJQsytAQLWGVLmOeonJ5t5Q8fPYrLJJZvk1pSt0E+5BHMuGaQi5fEQCbo6FNlk2EXdxS
QvYRK1qM1QkT5HRtDdHedIqbZCqu3cznxki3vXmQchONp4D/E6z+XVWP3dqdPXb47pNHVHBWkJQ8
WmLeRAKuBlxEKOofbdE9QzLVcb2y7CxFFYStFzTrMugC4OfFtsyqk2nShWnyAffHIavjy05Wcm+Y
KObM+cbMMbv0+ACwovK0T9O1zM3liO3kJWnTK8etyJ/QR+/Avv/SDIi87VD3YiAnbBbbWpllCyZv
qrk4McCNxEZ66EV6afbppSGrl9yYahL9Wuy8RvTAUPKpb9prU2b2Dp9bsJlosNBg2KDniw6CQcwc
ROu7XWyzWiZJZlprs7wd3ehpiXh/8NDb1ZLSfXa8LpaUb3GXbyqRHaKl+agLyw7NhcFhHZg49/CP
IozOVgE/1vXQ4ZSNrHM30vZZaT/Tnbc2YE8Me1mtf8KSu7DT9DIlnHc15dLisWblJ9OXxbXuI1Xq
Ar/31kwrtVUmjFu4EC84WJA4WsXZ1OgPjQXTVNDjwcDeVRd+FNIGn5uk30WFeT8kLdoGDddA5R9T
BuuryJPnHPn05KXaMRnzh9Tpio3eTUd39ilYGaV1k+moCiknwXbMwtxGnL/oyWkpRg3XcDltsNt8
xkt0X1dQEGaDlE0rTardlIj3pkIhUxIXq/vjslHz2nVBt8T4QVv2nV9tvdGj0q+X82xZY6gNFMZZ
EN9NVhr2prYPADUQZTBs7ao5Aq9gC2Ak5JpS6dOCu0CD3dLZRnJ+ZhSqgr7e6nZKd5MJxdkfhytE
Mw+mM1wuXslLzTS0B3vbiDhEYHORVs1etBGxAjxE63FxSQiw9d3sGT8Wozo5MWf2FFhs+ZOwNpqP
TqSnbqrflikOPRjeq3Ym+MkyXkqWWFGGTGEaozDK9L3XMYKJmeoOPAQ655HFTeFBAN84WYHRZPbu
qz49Ldigs46DMrXcMhxyb8+He0KYk54Ma2xWUxtcN6jid6Y9PuY8t6TVUth7Iy7GwQQ+SrVG6OvA
MIBcc52Ac+7OJizTpGcKSfq5TlN67atEdM1zzF3TNs8pYekOU7Y1K8sHzCgvzBZgxXEurNqOR4PI
eMiLJK8vJLBbOKV3DYoI3t/3RtQkn/rle6ti2wOBqZLB7nKFwcphbV3fcOedRhX3PlakM6gA+A7u
rqUi4QPZv0dqo6x79buVIM4UQbuOVJB8N0QnoyJa3kYpsg1K4ubjifV4pCLo+ZTV68h34LHpfMpU
UD2cz21Jcv3s1AlLwO+WirQfybafVch9qonXjNR7taK2EgkTL8p21BEKXDLcGQ4NTD3UHj2Qd6i6
hKu4IDQYRb3H4nyZyZY12mtVD8ez/ARHWa7ZRl3DXciR+RCNaqVg+rvq09eKONTt4GUkNzDUajDP
ceG+ZYnjrCpyPfS6j84ko544zYnfOdlDsktS2yEcuU/8g95lQU1iNIEELtZ8nbxkxC7DEupEWSe/
CbD/rqNVpMy/r6NVxObqo0j/dK7DK3/W0jprJ5dlFMoROABKavuzljaQjpCEw1glgHUT/LOWtnCa
+4SI6T9XVT/HOu43LOjIJJkloPNQIJ+/MNaxvhB0f1Beot40dN+nMrUMlmOq1P5Fbdz2M8qyzNcI
l6ZMyMvDkEb0drmLKUQ5ZzNvJr8GL63AVMs0J4Dugs92RBk4KudtjgV3UV7cSrlyaR3KlamcurXy
7KaYd0dMvCVm3kqvT3NvHRbl8qXmbUL47qirKN0xAkvlCOaqu52+oMuYhV1KJhTwfIwt/RzoXDik
RDgrMnee9Mn7nGx32oqxupOmePAMaYRLthAfpXlLKIP62e6rfpMa1YbkmZHKucJNWWrbooa8YWjN
bsw0JhTkta/aXh6TxRvTDdcNtwUuN20TTfZrlQ/afGZD4w/bfDJGbsyy7ejsgQtXcBwMG0MWDJ+y
HINtZbB0HtpZhiZjAFxDVjgQQ8M6Rdz0AmhbwMksSz9f97p47zzvg0VJgPfcd1ZWd5UPD2YLxDua
SXJm+YP7ai7vvInIGUOarwLfIpcFJi4cYcOacPgLN2rbY60X3zGjk9BQ5AlccWceGG250jbPdRYD
WmdyvBnn7F4nVCXz2Om1U6arsddzYZePdBHldbVM5SVTtHmteUFYeME1SsFDkZdXrdHuJN7oPPCO
kxM9s48FnJRZ86F0xbYvbP1g9LBkEr5vbIATvm+X2lDPCQTm/Tz5cZcehxT/GiCSceUbkaa88PIa
Sfh9rvyWsvJSyiDvwv4yY3bKl5l9WTQhbGPXNEb/tGAj11voM7oL8JuQFWYKlX4XY/ckLhoTVGNd
1xhBNayqjNLOjvAOsBB22dDvE+UcHbCQdr68ngKACZM5M8Mb1rbkNz/isBfodm0pnkh8ueca342M
iGAHxasAv+qEbxW57WWDj7XBz0o48t5QBlehrK6uMr1Sre2mYcQGa2CIJVjj0lUWWX7lYtX34oP4
8tXQ8N60OXZCyhBn7+KxRTJEVJLzajYsBpUJt+vz04IrF9R9hZMao66lETPUj98LrQ1le9/0FMVB
HZxjHL4V64eiWo7wFR71QIwbgRe4xRMMgocVFKvctM1epbINax5bDmUktnAUJ8pabCiTMQLatyAy
uMXliK9+uRrxI9OWPZkMhcpW25T4lU3foVPQ4TEoJ3OcXI84m+uGBCKczrmyPOvmvK2VCTrNtKsI
V7SQxVWvbNL0mt8HZZxG3HEZKCs16q2LPOefUYmOymw9NvLg474euuKCf7ngkcSY7SmLdvbl1sZP
xqX55eFOMC+ZBEzELwKHN8nc9MrK8621ewztLy1e8DEYQoRNO2H5rx2Xo+yBRQFU31hGv+5wkzdx
9Twre7mpRrmj7V76OM99o4bEjVkRcYv1nOJOH9uGPB3s6qVvny386ww1zqYytM/LcHKUxX3C6x4V
LMeCptoTXLBL/exJmNklguMHr0Brkgv9tsM3b1b5KWHDk+n9Uybtu0YZ7CVOe1vyUdObE7QshupY
8eOZCHsyhva5WV9Q4d/ykBxLZd9P8PG3ESIqZezvoX1Js94syvI/4P0vYQBogXGhsTFa1aN2sKEE
6NACuqY+SOgB4+AQzJ5dksqy6/Ll3A0YFj1Znyy4A1PFI+vT4UuIBBFkgmzETFU7hw5iQWtXR/bT
B8NKHgeIBg5kA8DrOSvJaDs4WBphH2QwEAwFQ1igIkRmczlDSUDmzicMbkJSZhcpHIUJnkKgSGao
aFYGiti1gLlgD+m2gMEACOQihcnw94yPIsLRLWqF/682aYq35j39M2agevXv9YlhfzMsJYghkvW3
euJnfWKAE0RhQ8ekZneeTlXz+97J4W8oQkCPe67FiBDVa1v2XfI//21Z31hiMQKkQqHoAYfzVwoU
PFX/sndimcM37GJCYfNEeKz6+18KlGBytCrg8bvSMt/cOIPsSAebrYM7zPXr0Fg8TF3dNTAHZs3z
mKQtrJaisW7FwywywcrVHfSrojHtTUELOem0M/pwBkJAEkZv2EaD4H6ql96kKR7Q8a1qy/etiamU
UuxnnlEvGMPJx2t3XaXlyZ3fdUDpmE2JVaGBEVot8SLuZckdztZEmOs80+c7xgWkmZmCjO2qysHh
dXm7R7NPbpnTe4+FMSBF4bAeHitJMMfKcioaBJvRUL7W2rrAHlv5N1Y2VC+WrMWL5lTOHlMaqEBj
yCN2HEbsr3KfrhGtpt+D6VtkvPZTgoKD0oQOp8s1W+UeZ6onrzy3GG6ZgeJNJ4LKBtFRDPteixw2
RbXPzEtivGaqUi7cVr1L6oSfkkEioNbeaobPpGHpZLrPG2/5IU0N3lVsz22xnnUuQXPb4/Rgwm9b
PYAVf7C6ncPKSaP3hDz2AqzCMJCSoMqxhdEnBQnDSbS4IWfEMjDlHK1lCfZBjOoinKsm3nmsBM9t
M4hXKyjac+C1HkA812BN1NrJvVRpJhb2l5tS46d5U2jxoIdxq5dyHUdlXx8S0+jRFqSmeMny1ryf
gj7vKY16hKxjoaf5XreKzltpfhWJA/23mI7SS+3xwx39+COAHbUDQBIBGElKHPUBNvlWaxEYaPhL
Mz9tn4lar5rrmo0IV9Q/Yun/7qqUi+w/nFwwTv9sO6Fe9fuJheKeg4V1OF3LPxT3Pzsq65uDb5Jt
uaXbLNPRwf9+YiHGp8fB/EYeFpno6j/8/cRiU456nv9L6fjZvJt/5cSy/T+eWD5GOxSIgW36yPoR
/3+Bln85sSCykEwIqOnatABCbR2fvEcmJf2PRvThYGfTSlcSUy1CbCqM4DHqcPxHSojqON73TuZ3
npKo0hxu+g6TMTzv7wQKHlrUrLQTpA0qgSv9/CZSqtfMMl5HpYNtlSJW1vWhHlC5L+m11WkHCBSn
FgmtobS0vVLVDnACWVr6+wLB7TJqGw/1XDe65bpEkpspbS4Rcrem1b0ESrXLTOk8Z5qBOVS715Sy
N1IaX2bB25jYvlw856iARyUHFo64bZVAuKlbdLTOhVTSYSBKu1mJifXKvk6UvFhHZ7ygNx6K/sJv
o/cqGC9SYrRNJUy2lUQ5LiKGPYiWYxNHGyrmVsmZm7lUO3d/s7TNY4riOfaIHxorq2aanj9MqKJ7
JY8u2QZnmX+alXDa4HuIUFKnS/XWKmn1EGVpSPNKHJoSXhcosCMlxW58+TCjzW778VUqsXaGanvy
6133JePGJwib1Nj6KLzryLnOlOTbQfvdKxH4vASPwg22PepwtAM7XcnFW3TjhRKQDyjJfRTlo5KW
j2jM08RBbK5k53WQPdZKiJ5l3bODMh39Q7PqlFYdzToQu/gSXCrh33ayKdC1M2sGV4rSvY2CZtWi
fTfRwOtKDO97XXBkbFmFnPPvRezdxdG8Q444sbcA8liaZEda2sdkVxeLW2xd0T3xZ/uipI+xBx8X
nJliXRPdTdGK/DKY5D32OCNjHgeExeXztEF9mGy8vv2URr0XXrNzBxY8Xd/E0B+yk9HXYVX27DMy
BocAve+ModkJJ3uxZ2MXxBzBle9ctArV2JXkTBWFBMKb0ERglrM7WP9M0sI58fADspBaZ0tzqgLg
akIS2GLO1s6My4vMselKqTgzZpR2Nh5FQiZP0sxXTcDP3o4uOlhHHO7ge370cdk8JUQvcGcF0l+5
KOluTaUyjFd+I7WzXgX1LYosme+MKd3Cmt1mGpOz3ow+oXF+RE6go9KEJaIz2/OK6bF1m+9d1iMH
LcuzF0OJSbKzUeHPgAy0Zp+1qSYuT8sbEGnoJG4Te0Tgm803V4W156kQbAEKbrLDBCgkG3BvWQuw
dusqlZuunBiJzvgwzU09Ta9+BNAomB/4RRM+JLTDnGqXRc3IL9MORUAeh3JsCDhaIGgFacGZj8hy
8rlY7eVoVd2TUTebxCHZzCSfapBAUKyU3LK0ZkCKdjWYvN2IxYTFCb+Qx05xAqdeIYTWA31JqrFU
zAqPCMl2k6TBsxSEa7VNcjlQmm2WOg22k2TGip5yH9T6FSLcH+1o8yEgKnPyEN3Zwcaq5hP6j8PY
sHKTJnJKVGr8bsnM1TDyts0P8F/XYvI3rbDv9TRGdj83l0vmuahzitDOMFPoPvpTlKhbRAF3Th99
kPjJ0znIQ0f1sG6J5cSpy1alpliy5E2kL8NFAn5ZpBCb/BS1rd2fRq+4mODyrCR7Ezv2XzDx4lby
98w0Vs2s7wKvv0nd4Uk3q0NkE+k1YOrLRM75NxUYlN3y1urBBqdLAzwtZvcn9ohpsRUMV5G73OPd
XdVmd47M/gh/dcWkAB10MG+Wxdy6bhNaYO6QBw8bIM0Lp7C1DZzuQi+WrQ8+ZR3MGrsg/Tu5NmTF
mv2rlTI5GsmqPpDhfGMgPari+Mw+5jLw54GwVJZs7jIedTdDSUF/SiqtCKWWBgcrdnqEtdMNtl2A
yKzEAv8Tuea2IDKtdbuwbXxtm6aUnKPWXc9dddN5/sOUEs0rHadfT9IJwkmY+XOG3p3g5uFTtP0F
pCK2BsVBdOVlEjCP6Jv0tl/MjZk2n05MwGhvVFfJBMNeLA+ZYZLjOGSPnMBhWzjnRouwOenBi+Y2
T1M9XYwyqdQwjsl65a87I7kwgTYlkzJBxxd213GM2/MhqgOcNUYEXIdtd5s9olUdsw0J3MZWW7px
7QPRyfX0YDrKszTKZTOVybtNiNdmHtgntY3xFizLtQHHN6RciDcxuXBTs+C+tepPj+aYQpgwiBTv
Sj9PxSYp06dSmDdoCG7tjKHeUNpQMtofDh1JR84r3KXr1p0OC7u5dUNKLk7n4mGatcdqKu/zlJ3V
WFibCgPqyp/H6yFjAEPq591SYEbNe9GfG9Y/oL5ItrbVNMiNBgzs0kBid/FLPUWrP8dl8Su2xvy/
XkE4LNDXUVAgk0Bs+MeGil7BsGfq22vjTq6ene1wU6/JoF0Hb/e37QlKUFiuu3166ewI0d6X2+To
xHtxSnZf7+PvAteiF/4PBS5rg9Nb9/FnalBe+EuNq/N7YMbp2T6lLH/1s8Y1v+FgoRv2Aosi+Neu
3PtG520SjOu4uoLt/9KVe9+wp4IVcQxWEK5u/KWunHHBLxwXZTdVwhvfxDTPAwQO9l8eoX7sa+ny
IOvlTRPbIfGmm19+KH/ylPJOf/kKqoZmqgB+1+E7NAMgFH/8CujXM6v3SBpvbXFMvUdNvw7A2eFS
j25YvLbGb2Kwfwvd/cpG+I9fUb2jX6p2k6luSu/dw4zqSW2cYxQGc1uaEgVc2RItXPrHoaNodTMn
WrUu1ROGkjoikzbsZOehSC3c18kMzINrMaXDLk5GZVtaK8tPLp0ST41vZuuq0d8HLfsMJu0ZyOVN
SVgC4kn2riImWLogwHVlmQkz7pzAAkk2OqxOF697nm5pD9B+VGm5iziW1umUsq1tEMMXmBOQiKZ3
2ghqvE9v/WG4QKFFnZ8Ol1od8VsS6UpGlAQILzb2zCadvOQI5yu3r7UvS+NmSBjNEXNa6GwfMhFf
lMFXufjQ4HYAgvA6LNbN5CX7AbsgEqt2l3aYRNj1J6kzrRK3HGH0NS1m4/lEMOZy53E2AnFwmBPc
lRgH9m5d0fEU9b4Gd9udl8rmD3rZTOV1HtuXHSP0K8xCXN1ttwAQtGpmi/6l6+IQsOUly4LDlI2n
JogAcGZX8+I+IfzE50EPDpDP2gKe+GE7+jvSGiccHfs0VfYxgn8/ZNVlF43cSfMB+P+NvtTrIqoZ
T8yX6Hsve78pN90idaAJ40U76E81PmfbZiEki+WBPIl4hQ4gu0r74qbIOjye41W2ZEe9zFBTVC4S
RSgm1CY+ts8BxaIN64Yy96HuZtYF+P23pqz6Q9+PHVJ+E3tYWs+XOdT3Lb3NRS7fA228thP/tu0b
Y2UkuK+ThPw8sIdRnt70hXY3DgVhyfxagMCHfooqR3bvXkIdbLjibIJmDHrZk11ngFRF5yPmc9cj
TWgr5EbUY2MzbCmON5Q6xAajqilLriD7RkY1wQ8Td3iXZ8PtNCe3bmQcmrHf+JX/zJ23njynAeOo
sQjkei/Ym0ngiBby52Vhew1cDADk8KFzVRcAT2vbgD3iBUByAUpb6C1g6nNrxzdJOpxsR+DSlLtJ
d8KcBFVkdhdtW+5RG0DQ7xS/9Aqn+8Zkls1BcZ7ZJLEqA+Vh2dEWQfOj3bSAKeF91eo+Lpx83mek
fhyaHLlvGvdQK7Rj1i73zIiQjufdVdqUd2LAcSWgGdMI0w375lvQizfh+aeyzsVqEjjJmf0jG2xH
pMHR4O//vvS+5tH2/+OBKLq3/1o3/cINV3QsbQ7v//Pfv7kn1Ct/3nrGN4cRn8MAB3yf/4ddOUMf
g9Uws2Bkn1+Sz98nO943jqWv2CRH3Xkqd+v3yY7L0EdHlOoZOJegAf6lW48YnT/cSvxPUIpA9bou
0Cw0cP+KWQgijcxj3we2OiETwUbdbBoTVXw+FU8p0snQFHx0W4IomQF76Euc7lA7xudQkmFRSjke
IWJaWEDJrO/0fh+XcQitx0Huzz1RFsQmK+eQ8MT3MWpYMSuu7FCwm8kVa9ZT1FmtmoObpJYPjqLS
1qM1rxxAtdApH+K4K9d6+gRU9V7KtLj21Ma1VLvXXm1h9clIj5LFbAREJsyC4OwTKYE01PxgJd5v
mbWM90Ud7KlKLkQ1zVt9KkKtnW5rA5VKSX+bazVTG8Spdr1z9FasBwePvNfcJS0zBOYzp9bxgK92
1i4DXLiO4vbHjPSFSzQeQm+ZGYWl0S5O6zsk5cgabdCvNnOMpkkPSJReDSPxOIpGovGU9W6B/A60
kxMCL2eZGpsp65NN3iizxXIbxca8dzSDH02fDhd5ypZYOgxLqvQY+JnaFjN577R3IfKAiVmNL7BM
d+Mypus68hoQpyRyww+EL7FY2z5n4B4XgF865eMQFaHQ1q2oPPwM76Zffnr8d/3MjyyFBbNOjPYt
oWPENcEW2/Y6lrCWubIqYazguq1YCGDoyG1Uv3O798vgdh5EeVNL41RPYgr12qhARpcoWXmGd4tp
3ttkzgPICDa+5jyAaAuO9SD25AOliIyjK10d5MAPtoBxL9qyuxkjbq0cb9iIFJIR98Zw0qfAbu1d
QSWyjlqZbIK83i6pd5rr+dks5dYuhld7nKHjWsPtAF0IWd/4wVeeMEHmH4NXG9cMaa1Vbcw3tOOY
T7LkFLAruBys5jspAQCyGsM8pKrgSTTpMdFg/h/ORVuH+rJ1VIHUiKG6IiHDO1aqfJq+Kinvq6qy
qhppn+u/c7eMx8GxwLN626aa9mrePjsW9peoeQls2lh7Lqh/Kr4EZtGqx5g/knzSO/yI/TjaaTJZ
HqyqNFa2OY80jt6dX7sXnTF/5ElNV5g5t3kEnsldhnCRw5UJWd+ggQzJM15UDv27WKrg0JXe++Sh
FQSJC2yRMA7W3+25q0mjiZoTojt/4zVjdSw98pCYikLRsEP0lzZPuI+iZJp5xQS4A3/dvBVG9JlX
0U0Oqnhjy06/HpIe0kGPvxl120VtFnq46G69/1/2zmu3jSZd17cy2OdtdA4HewGLUYlUtmWfNGhZ
7pxzX/1+SpRsWaI940UBixv4OUfz226Sxar60hu8ZpxJQN1w3jnpQpV5iat+DiF+CtBpDcRckldg
9YwHWXajm0zW86O4tekOKLEPxe+f6LSNTn9Gcvmbqt7siEwvUVwK4ceBCgMrAn8t8yU7TzAiAD5B
v0MZ1FYJP8+MCOUDDDyCkghPFGaiVHuKTJAlwE7QCEQC6GlS8RcwLuNR1vIXGBeKlHwIIqSBARzV
2avqRbw52PMYkR4rBGcKjFgB1QmACsGSQjoHcM8lC/IzilVUvgZUMgbIsPaogI/p7YcMvKhjODek
erQ5lQIxHQEqrbCUyGztyI6bhQnqFF7uUQcKNUE8B1Qk1lDgUysDKLcArGq9P69AsPpWuEIX+YHm
/LwD4QrwE1UCMK9Fr98zbV56EA5gSmXRVAqS5igEKQu8nK4wBieqATYUJRCNXqcCttZUs1uLkq8T
oNuh1IOlP6qbGDyuKst3vtwaC8t1m2kuQLulEntTx6BJqJvVidHXWB+B8a0F1lcL55EfXrstIGBg
Jt28RdkrBcQ1qUAKd2Yi42IAeFgTMOJRAIppKQEITaxzR4u/wb3PlwNNpUngIT4kDe4NhmMc86af
yQKsTMt8FQn4cuCpEdT1PJ76OaJzVs/QwgLvDLP+xBcAaA8kNF4h0kkCNhqV5ktfgKVT2zlhKAx8
2qhXDnjqAly1WveX1HnSvBGQ6yHpljIYbEWAsREhvez9NJkw9PocgtfGZo57SUC4IVsnmKNoNyPo
bpD1s07AvUGoAAICAa6DvwlBhAv3kqNw7MGoCLi4j2AZKbqGm4z/yQ/5/J4Al48CZm6iTt2YGcJH
AoKOI99DBiZdqmKE2pgdBFWAEjaQdSTcJ4HcV7gbA2fPUv8OXPkVym8wJWyg9qOGWLUAwRcCDl8P
DvA0AZGPaRnPFAGbT7LmPMvsTwZ4eksA6yMBsZfB2itg7umSnZUBiuMg8e2pIYD5ugolwxFgfaiK
9SQEv+9q2RpzM9T7DYuUpUonHlh/Ocw+F2ERLIoY0Bp2IbNeT6mL+KBdS+agQBUoFPlChTqQG11y
FCnuaQmpAB3r20Zql1mVgmbJFkAP8VNJAqijVeug9d+BPhAsBVtu7+iGP1Stiqlav+yCHFc9wWxI
zQydaL4VlIdMcB8ip722IUPUuDbg5tmuXDq4g+wce9AmFOgTKjSK2ECWvGGa0EKwUEXq2KA7TEU3
ztSxxGeE/IYNGrhTUwJmXVAKZ4K1kSZGPmVImkw7nWIskdvvftRHsz7RrLkqKiINCkgPeLiDEmKF
fXOcSUU4dQVfREmNY18wSMZHMgkjl2Bip06/lCSQ6YZgnSD20C0cwUQpwT96gpuSCZZK0uoM4Gp9
0UBgybT2DljFPdDKcJ4JjoundRdDE9IDoLc+HWp6z1xHkGKMJkV8HT30+pS7RwiJ5Fgw9EWBzF1S
HxspReRCa3LTuEU4ybaXPkzfZYM7IGepSGH2W/Rv4Roh5zW3U+wLJ0WravYRw9sBnxQNpugaI5Ch
uXbkRKmvO6eUtNOmbzB1R9/Sv0PDRG3Pozo/yjySvzykes/0SKcvjnp+gW4Byo5XFXhRBib9ia6n
zaKUyn5pS+apYfWAR21dR+XAvKf3X9EMMAFUhfpdJKGJ4gtpR0UezRMtYzNHKWB+/jp+ukb2JXf1
DQhOOsk2XAttxHHN8Vvg5RlNhLRTUSlBR6OsYW0OUb8aMEzrAwdr51xa6Wl5KbnNaWJnX9qgAw2n
kTzjwlcpAF283MAWSOtP/AEObsc8xco3AYYJpsD41iqyBpqpkM3V3bWshmu3wq0gHD7Hvvp9VGSe
4hnfozb5CF5iJo0n6tCHM90okdQoryJkXTCAkyd9j5vFaexbKzmK5ZnTZ5vOG499sGV4XmB8XYD+
QtErWZtWNM4ggVKJSNKlSsScdbgO0YRpVqM80LHq3SmrkB9ZKaL0VSbXS01vudshO1sMo/FBGDhL
rnRTR7PR8D6pJbhYWw/dmS9RU9mR0/HmJcKjkXOEaKgyHaGrz7QOL8vOps2U9HmHR113hsasOrFt
/GY8xToPunTVxBZkb+a/DqZXVVKRm9Ub0+mGOTom1wOVDxkk1ZkLQH8K/PDWbdBkabr0E/K8J6GE
Y6LVjHdN4fjwnE2dPcCgHUyTNC2z+qFynFsu6IWcx2dR4gsDU+0Il+vbogWjGTCzQlHrmHruorXz
K8fIvgYEOpww5bUu16do+rqMkXV36Y5KOTXkErclCI5D3XkTcN3hxI+iY8cY7EnrgSuw1WJZGUE3
DfTqPAqaCzKRRarWH9tEOcojZrZ6o7IBG72fR3LSQg0QzL8IQwc0S/wp3MRsZkbtEhsKZWnSkTyu
WdBp5cfncl6FE4bNJzhqUoKaDECq/jYG9jofMoIgV9ZCCiCWSJ2CX4ZjTgfBwxFKsqeeosJwZ7Av
VbkgFcoJUxPkNlrULSaDVrg4M2nHuh5c+E1I2xdjVimlp8YlxwVndEdjonIkDPtCLdsRNwSNwXTW
36eZ9wmZeYjY1v2oa/e9KS/yCkmeyLuDwmzOaqQF3SS/kzP7SNPL646mmxbiJqkO0VSOmTaV3UaM
gBtLfXCi8QStv8sRI9KJU8vXqS4uccnA9Ah2zD9p9zbtJkv+wyQkize7wIk6/+plQ8jBBIlZgMxw
81VDCNUiGzVnlNLJeJlBPDeEbEBADlYG3PCyZinyizEIUB/aSDJynDq0C0Ff/ou0G+ns1w0hC1UM
oI4y8CE0CR91OV8MDXSolSXnaDi3a6+8sEJyHTgHKDPHunoydFH0eVBw6bTrVl5RcrsT4G4+RXo7
frScrr725SxejiMOYyb61XNLqst5GsA8spmixzHYnVbQ5Q1BnNf6mn/fMi2aQfEHEZBRMUNKPelV
iA9V7ddH2I9E9wEY3mWYoqiH8S1ARYQ4viS+753QgsfoTarDGeUnTAAaWSTUw0dHxZMr1jaDm1gn
jZADqDOpO02FRECZdf20F7IBfSyfM5PJSJygszlmgdoSKgM0OoTkkdCilUOhS2ujUJsPSqdf1qjW
FuPokWDkn30haAu0A5x4fhLCDsNVBtFbdXS6aQ135sJTvDsZZdyg0Ur4eOmlIURz0eSUlrUQ0h2F
pK4vxHVjLT5VhNwu8weEd31fX0Zxqs9bIctrKq09IWYj1Zugju1m7eVYMjDOY3ACSE6OaPUYGPbY
8FQ8Zx1qJPTtwOpIQhIYUWINIUJkgitkwWaDkA4u0BBu1PBLkSMqnMR1KqYk4VxBKdT3irEWxsr+
nKuunMVCUtRFWzTUpckgxEZ7VEeTR/nRESFSrAnCFeyzBylCpLSAwEm7itZCR9HFxOXa1KzLxAIi
HfX9UkXrVA2RbMCcDAFUGo3nqGxeZCijyl5lkTIHxzmaqb0QT7VQUXWFnKopaHCxkFitKpJAK01O
K9RXDSHDWpndNdRi4joRbRoJsVbkLc/BrxylqLi2mnEW9s4qR93VFzKvoxB8NV3zYnDDxYgSbDIG
9cREG9bRhYOsMawMUrAc9VhbM7CUQk/WdIH4jCjMJmr5VROSsw7as5hfLzO0aAE74S/hol6d5QjV
wikfknUR0QObqgIhpwusnPIIm4P6eeZASeZUoOx1poCKwjN2INTmDmaWFupUZx7WScf/XMbby5i+
xB8u43qDLni8aaodfRD+5Y8LWf5Ac97CjgZL+C3u+8dcGlFG0ZjXn3DktCB+XsiyBQMUq1VqZ4bT
/NFzh565tEbrwgHMhY2LSmPlLy5kTczaX0xxHzv0QNZpwzA85yaU+egvp7iSLWlR2cfZeUPpOq6A
cxvhWtHlUJ3XICsvgDy16MPGxtqAUgpX8l73UBEq1eQGdwGOo5KcFWr5mbncSVylV0GC4K+kZhMt
dFe2YawAdKA2bHVLpMiweaqiM1/uPmGm/OAEFar5rVqhjGhml7hxLpSEua4PZbVx/Wimog0BXT5c
1QyYe1pGaOK0qfJVlRg9tZ0Xo+gGwPAYsGoZnKiRWaNtiuDdOJGRGGJ8m2uoh7kSnZ6J2ebHFpJi
y8JyTkwc3vQbza1pQ7tJFzYzx/F8/awMg+pz2Lk0GVotURctBucjWD18nlH6g+3nGBXZcGkgoFPZ
JY1mdAXGeVF6cjFPDNOBr9v1XxtTiOrF6ScrBw2E6NLSbqHs5YG5yd3MnVld0V+GdtxRomUrwk8x
VatanwBJnBeji0giPaDMheEmux+lcjyuLemqJdlO2w6qSjprpfqs74xzpzXRMsrNaRmrdDOCDdze
07ih25rVzaqxAGxZEhZFAhxYOspV20jHpgIZyC3Wtpd/xwtgkkjdEawhYJDJkecWZ56TrhO1XzcZ
xqhDdeX48REGg7fU3yDirCNX8c5NCGyTIs6v43zE4DCYxbm87IzqqqypHfruODT1TwkwNNmxN45d
ncQYosHcxVordL6ncKj02FxrmKRRTjMRH6dKVmFeV104Uf25rEYKA3uWw+RNLX+NDue5jWgTA4x1
CqKh6lUcDLJVi5sYqgBrfkvqT+pr31+HLiw8zTkdNWMBFvgEgO2SWfMX1QgXdlCvcq3+6mV2OBc/
vWfRvyuR6E6UJdIUZ0pb1ZPGkdeN6s+GIlyXuHBC+5pC3781fO04Rkp0EuMqjxHAcYVssx3YaEIU
D0wQqDXiTzTwbjPZh8YkLdzcONN0e6E2CZ0U1PHNQTnr9P5ry4dAyV+ZRaly5rZoK1gKih/1mWeB
yAoAdvX+cVYxxLKH8qG01KvW6a/KAVMF12uNSwbLy8Ds/LXp6qvBUDGlieXwGGhegV6XmoGyJ0Iz
5eqLc9k0cDtkSzVCvZLhxRS/XiJQ5XwbvH4t9wntdg1go3fZF7U56xEtxVXXmmlF8aUOB7afZkL0
dpeAjIeFpLlf6KOsOqSYF3bS3ET0NjVJA4yr19VczcYA83oMeLQEBrfkU4LnrZTOVV9ZYZlwpWN9
PgWZQNep5xdvQ+cizKVlpUOHpX5C5iSSIHNgqgZmcVWHzRKlzqkBYlOms4UhH62GQCWBQu3zAmt5
8B96dapqBEF/qMAEQMRyozOtkJYw9ueJiQu9irdGVyT3uZ7wY4wSQ/IK+p87sFi1eWnE9nFWh9qs
zEKAIZGLxeXYoyqOQ2MmMxNSfbwmwiA/S4KY5hqoukTN7mpLBxKiJu1USsZ1o2irPgq+oaMYAqJV
j9w8Rc1EqKghMnNlpurH2jFPJIBhttTEi3hIc1p/3cpwlGHS6twAiRTj75CnzUwt3GZCJ6xYhM1w
ljFKnJhacB5FxW1rNubU9/sbz0Rf3UcyJkWXsbWjc7TnlSlTTsQeyhBt+iSdIuLmAASVujPUYeNT
3wDq+E/sf4z9BgH397H/pok35cPbuC/+1XPchwrm2BDONQodBeQQ1dZz3FfQVWaIYTMeECR2MX5/
jvvmBzgVVEc4HDyPRp7jvrBMp0YDq8bOUkxd+Zu4D7XiVdznjR3COJ9B0SnT5FegRm56uSCHbdZj
nCGrETRfyoE2J5h6i+gZz4YyFh1lCJyZuwpKuOmG0qFRmrYXSZUdW4z2J5WB46mwQaik4JTuwwrv
8W4CJP4ac5VvLV24qZS1FmAewCFup+IIXUA1k01vmlQCEyB/QuXji1rpd06BaK/tOyj4CFiwI40L
3C0ljBN8yKcl2hoe9pYBPpyGnX7Jh+y29QMmxnWFLYBpfiyL+jgFVFA70icMA0590zoHRLNqI/+s
zoIvVWYncJKsC1qb9zHI53nCF2PYHJhLVcVsWsk+J4M8QLfCqjTDsmBaxN0RCka3g5qXc6/uFroO
0kYNMRvBVgXXWcn+hhGvMcN14Kyq4xusY6OpDWfZiOyrLHC+FZVzAdILIThmRzhDhPXc7bq1nbcU
bum9W2ef3UI9B9F8D9MGfE1UevMm7dAdsZILL0ehD/1r7KC/xCoaiHls57POhFzQ5dl9pzg0juDq
JgMwqpw7cDZAkF2Qr5VTR7HOMNo5KXT3LPUoNNBWWQzgzeSyO/Ec58hTjSuoud8DPXywkvJGCzyG
AONd4o3JDGmlNUJMU0cujUnXwTxQZTRoMXg10dyuVr7TfycUZjNSq2Umu/K0KSG4JLL6SfeMK71G
zsAOohvdU783qtkCvxf/3GiaBXy3uwT0epWBXSbxJUjjEIHkV4hsWPwZWF+0UPOGsbOBUSeQkCku
vcZEpjzEJWMhWzmmPba8LGofMHSUA6LO+dXQsuymdBxmjc48pcBswERKYelW+WngJsXJmETkntz5
gn9yZcVAdVMShELHXn10bZ4UCDeEniH5WIUAjNlxhtVJU3tkEw8Vv2Gi5t68K8frzEPuukltyDzt
wpWb69HWToKOEZelog9WFS4A6RgsRNtE9zAT7mw0MSaWmX+VlQyp3sydll3fTzo5AN9XgjeR/CM5
lcKZZIEbk+VsaYKoV+SgmSILjYGB32F129oPSVic0ZNtJ7QT83np1Memhyuv2gB18ZL+Nitwy1BL
mrG4eREz6q8Vkmi4AigQAsZ8vEggSJzqaYTAEA0h7zhWHV+bRVH3CUPjsp2XUuUHH1kGtz5Xa+Fc
bAaGtjDdRE5vrCZGvkKv81GD6h9X/hTCpnWB3EtAwVsE/oVW9N7nADZNFbOFJrqvu+scM1ucsYX8
DzQu4p9voSfkF7KEjKjRX8qxhFB7EaASaVFPT3BWBH9uo1xw3FiyC1Qx6GuYOrIWY84xaFOliy/x
3+yLJaZS6l3UIeO1itMcKUk0BsC7mNa97CEkQFExlAipA/lwRmSAdKPA11u1vBu5tuLqs4o/MG1w
bSTZK+TEdL9ERuDrKxmFAQlFub7J/wmXW0ia8Udy9UcQbE25Ay8g/tmPeGl/MDUMLrENUJRfFRQf
46UDDtuAcr2Fdj/HS/0DChp4yui680hFJMo+x0vtg6roqknPUsC4RbvzL+rkNzg24YMArgysOAa5
0BV/rZJ7GbpsWaZESxEY6Kt4FWLShJQXacTFW6oBCPNXYRk9GdB3uo77kYyajf4qLCvA1goz1PO1
3BjOLU46KPYlKOiPR1TwBliwOm304wrJp2u0E5g+m+hLhLblfc6z0D5B+t45VayEsTNVan/hD9qV
NmQtk4nBQ5W9jcJK+9JykdvgdIq2BXkDp6xFVABOlBSfdwinKPMgzzN1nnVxA3pK8uBtY2yTolU1
OHPBzpRnVXpvxHq3tvQ8PtcbZjRTJYcrs8jcXkOTFsGruEKuBl2uTDuXW8WIzto4PC/rqKMux7zP
dy7wUHwwqvxbWngLt5JvrLY4SjttaUhmtlSZYIPdQ1ofBKuTMEdNjt1hKGZaRIuhKpVZPBTffTTT
x1xfK2r+vdHaa4SKk3mnl+FnKwIn5nhRs5KsvFwXlWGexAHNOicB4jaqFamzpH3XwwrAlOvDeK+L
fJ60UNiDWDJQBLdXzNjXVUq1gPgWMljBqC7r1LodFOkuVqGfZqEPiK+uPdWCJwjh2atc9GxsGZcI
XTyiVuFdmeVtqdcQ5E079a8qMF7zhm7c3Onl/k6HC8oqqlgKVlFTznSpZAIOVK8wa4DikqJsDVR+
D9x/w0VAWBTkDXKQZJoiO/11LxcD9j8e4P01IikbBvHKNcDzCUAISCwp5f0Eev88WVpzOusT40Rf
aHPqmWn0b/b6o/71TwQO8FO0lUhpkXoSyS42wb9+DqMHLe1VfrZ2Ve8Em4R+GnmFCwFJpyduRc68
aF0BUDcJaOjfrDyrdE8UfiMzKgBrWMPacenK2+r4pe4zZ1GpGJPXdb5w7fGLZSB9FLq4HlDMfaJV
gVVAWSCaW1HpIQvHnNBneGz4/RzczrJTmAC6aLzotkub1jkaNYZrqrrUdUOZFMiCkDzCSk3SI+Rp
ZhnzsEkm5/Ou885U0H5MqIFaooxMfzisZhzidYdU3bLwBO9P8269Ljti8rZqehs3IDtfyhEbzXIK
Rv9yeP3na+TXS+QR2EthAbJJd+g5as6rS8QZ1c7JE7dcy20SLrkIYr68nIId8udGFmAMUXhc1z8K
oB031yNH+5dfEwb3y/d89WtKfWuVbeRV68LTPhsuk2xYpNCOrSM9aUCL04LwzBLVPYDzRkyfxdDT
ASN4lMSBbp5lgX0nB1WBIpT0nVi9yItipWbmpeyO94ZXfEm6oJgVCFJs2V3/sKqQEfn5C842wMm3
QPI12vr/9/98br7uCsi/ThJlFNZIpik5FU2g9J4LWBUZNuITig4oB4gO9s8C1uFPsMulhP3R7n4O
yPYHrHTBBPJHQj3l7+T1Nfl1Act7MKo0RbksZOJBqv/SuI7rspb7rJfP6zC7AzuFU0ykSaeq1OQT
KvOccRhnDrSxs+4jt1pkgKGndaWflJkBfikFVoJ/pHFWoiELIiwS6lbmsu2a69ju81U5SrSuZDQT
7XsFegpE4I7ZXeMi/dQdO669CKxcnkGdWDYVfI7UETKwnX7bpeWRjhnZDbcscup5fo8+xmnW5Lel
gkQ43TZCrVfcx4MTzbJKR8O06476vO/xkMv89FLW7KUS6vqFpJmnLmired3J7jTpJBfka4nGZlww
YKo3VuPdu4ndLZBsR8tjyItjYEfJBNm2qxq1sAsH1DFayHSBYo1KzkXJaeYGpo4BGuit1B2QnNVL
CgntWxWYl75BV7jGMYcu3F2gajd15uQzKVQfctTE5+7o3ZZUGgGDxAb41AQ73yPIpd8o9tNJ6PtH
kQM+UA5Xlal+TlLvNBydGwU0+MQYEQcoVfkmt0IVNWD9pPZxncOgI50yjNsMTYX8vFXd2XgBQb6B
9VlQzHW6fGHHujLz3eAycKChSEkHAnoY5HJKB+27XOLVa4oOcHDaDpl3rIXVFfAvpDoNuZ2MZVJN
8YSfhCYKrVYez6wRMQnITxDRU5S3S6AKcRUBNUdULEgr+9xR82EZQzybtGZ4DPPKWXlV+aAWePo5
o+VdSg1UpTEw7h1GgutiUL/HzOkQjTQZUPqh6qxxCcATJMW+wI0Mb1YbSbRIKVBOvCg795OSgiy2
zzspAwRqOlyLQ/YdHJ8GBIk+RKmu8yyH4UNPc1IHxBmlyaDvGtIy7FtCkNJ8MXP/YxRFDfwRJIZV
PyU/8Vk3pHSQqEWkGeWEj1aAhoWbfU1AfdOe1E/0VLpU7Py7jpt446N/DPVqmpKdTOW6RB4oLo5z
Mznpa2Oue9r5oETnVOv91BGEMTkLP8mde2skyIchloknuWTdlrVn8LHVMzcnn5LsppkgBYuMmyxf
JUN9ImM/W0ThVRBg6NDEnzu5/MpkPoP5BIx2qNq1XUYNXgukIZmcrgybxTV06QSVaX1pygT0BuuD
GcoMZ4D/74n12qyqh0+5pjaTVslBrFCNZjUePUPfHkeYDtGHl9dd3H31Weu5qeU455lBQVsqv9PS
fOVApzbtbBH6GvqtuETUcrewShpTUtwV0Lbwl4zC5rQfogJZ7Jjh1WB8Ex6GXQESOLHDs8It1WmQ
J4yESRFCv/pih8Upche3SjR+VKTqks8HmUWHqtE5q7JP4xkfeOaNbYfzQrSyC+p/LCiuKkf7MtRO
fu7pfgw/UepPpGiQjrME/e60Dc7aCN5HIz34eXRlm6kxzbFQwOxIc6tj1+IpY+kbR4mlz0u3aBB2
l2KEo9XLUFbTia3pgMmUihF+ZkWIKbKJB1QEMe200CoXOgBdFs9cP0Yq12MkBUB4gpvWPSjn8P+b
2vcpFRAhcP5IpbpsHsrh6qGiX/HDwE786UWGN9RN9j/7S8/F5e4HPcXemyEn9m6+QSVCyrMug/ta
tIxfEbwU7VXkfvxgj5/6j8+JNxDFmm+8g2Z80MDqCNl/+fFFjo9plvf0xxQNjvC6QQVMJXckz3ux
Rr9bhT9/we1y/vnv/P7Dv1wDoDlU1z9yzx/r+W++P1/w59eH4MZXNx0FAVnx2vH1gWlSywPcfnwd
wiLs2Aky/+2vV4J/82IpmDUo6uNW2H5T0rhfdgK5HNpO5E9CR+5/fyfsWAT1dXPp74+DzX4QkxOq
zccXm/6XReA4qNDzSU23W+9/+Ti8WQSdT733ThDahDpsGxL0nYuAShjSBEBLtpvu0NaAJsFrm5b/
yUZACZpqgcr48fX6NLARaEpYbJbtpjvARdj/NLDZsZUBqC6WlJe4MF4GBzaCjJYTECMaBwd5JSjb
Lbrtef2nEUJ8zZ8hAqIzAFkVoc7tTuB8/bIIio1suGPiosseOchFEOS4PYOD+I6mSgOdifPOnSB/
oP5nr+jbZsIBHodt1NpnJ9hCHJFuu83J+mULqDKXgRhJyNs04lADpJjd770RRDqI4Aem4OL1+l7k
SqBERD1SOdjT8Lrd9dfBQVc+4CLMLy5WQrxeZwmqzsWJDbapHmqEFE2w/XaC8CQjOsKH3d4I4pJ5
fShMIQpK2+9Q78XtB9vvSkBDyTTUp0xJJF+vF4GDQhdTyEbxOtSbQZjN7bcfNOoHOr2kjfp2Q+zY
D/whLufohhzyUghVtz2XgiqCMbBOpfSbpSCB5mRApTrU+0Ggu/dcBBBqoM8MhuHbS/L10RAZtI2q
jK0cavL4VOPtcz9wKIQwHJJQry8G4iTDBSyED3ULKHsXUYQIMRHC0/jNt9c/gDcA2cgxeHwdaIRQ
9k8aVfw50aMAibn7LlAM7k2DY0JmecjXorJ/hDA/0EXkXtRp3D396r8ES24E2C8O1+ahZgxPV9V+
NwKZITxJioXHlyg2X9XUgHcVFEe2cejwKqmnEm+fRRBtNpIiAbl6fHHMXi8C0CkShYMtJ5+26D6L
oH9Aewoi7fNxeF1K0VjAOYySU7BqeR1q7vhU6e2zFHiymSqh0HpqNL3ZDzJCQJSVdOEPNVJsP9g+
iwAPQFgv4ECzvR1f7wdKa9gBlFOi6CY5O7ybQd07ZdAsmI7wx8mMH/f8roGMY6IQCCP8OYYc5lLs
nzk4HxTRcrSg2T++3hwKgKtgt2BqHmq4fGp/7HcoNBnFyh8TmTeHgjaEDVRIsbZl56FekgIGt19B
RddJdx5pOOZ2579JqrHDBK+JUdH2vQ7wfti//2h+gCL9CNXeHoo3XQYQZ4aJcMXBDqeeBun7HArm
MkhiIDH/FC53LIKsMJQB1XmgkeINbe6vm7D4uGpYlhEmfj+6x24BtrpxsMdhG8f32Qka1SWJNEZy
u3MG4TOHpCGA24O9GPdPnPCfAlPMMjzthF3HQVAh4eBuXwd6KN64Iv9PDgVWXALH8ZsSGxAHrsgy
TZlDvRmE/uZ+gZJOtIOABk35p84j6dGv1aX8gbEEhFahMn2Q2aMgAe+5CBqsYhnHtidc19tE2gL5
JRDW1qGWVIJvst8iiAYkLSdqqqeU6c1OUNkJwrjDPNTrUdu2h/eJEWh2oQJD9fxUMb1ZBJFYiv8B
/hKvg12K/TuQtJ3Bq0AueOo7vY4UhEuVDUE0OdSLYf8MmoY04gAGTelX1yJfXkGDn9V5Ch4HugaC
U7nfvUCEANCqgmd5ihCvl0LwVkSH8nATaG0bv/e5F7A0smU4O8AZn9OiX8Ok+kHHgMiwn2yXDq+e
fIKd7bEIAsqhCbbuM9aRvfV6EbCkwC7JPNQqQtt2f/ZYBJpuuE3TO+Dnfny9vhY5DpgrcRqcwx7d
C4GUPW8Gg8m8itkx0fLxRTD8dT8AdCOlAgV9qCFCGHrtuQgWczik0AzzdzMqBdynmE1Y2/c6vJvh
jVPc35dSj51oKIPP0fBN2gSIQ0ULz0FgRyz44S2CMGLecyfYH57UA59wn29uhsdsAm6lwEQe5iLs
n0AznbJ0JJCUpyriTbYADBpSAJ2oQy2q9f2Lal0kA2L49Hs4D5YbmtCjeM4mDnM/bE/rfuFSTGUZ
4D8lTm/2g/JB9B3pvx5qf0HfJjN7LAKlNdQHygVkWB5fO3AM1BIyri2HeiiMvQ8FiwBsx2SM/5tD
IZgyHAlYU9vM6lAjxRtZnr8Pl0CeAXdqqIJvj//rQyGYU+iNy+YTtPDwwuXTnGCPQyESaZsGApny
b7NHELIKXkeHWk0IY769cwYGdKRFgm3wa+5MsWUBZwH6d6DJwhspjL8/B2JqrwDngyK4+14URowY
SnF3/ueL8B8clh8E5akfxN8eqcm44exiMP/uLzxzct/++Qvi8SPp9pe/KajK2zff0pPF//+vX5nL
j7nxiz99zpUf3+np3z99xbdv/subPX+v5/94FDyUm/IeIYJHavTTB90ql/x3jIDJt81LyjBICk1M
yp7/226a9Y/9/+en50H68Pygn6abgnv486u+5XD/Zw9PNt+y8vlBLx7Owdn74RPkjHd9cCL43s+e
buJNy09SPT/rxWdnv+///Cxuqjc/KV0Jyo93eHhal5ipZjs968R1tvdbzB7if62zcuf6kyft/fx5
/K9ZVrJ5np/1Yv2pBvd+/qJ8qHY5i4igvvfDl/FDmj4/58UHf4/jetQkX7P4W/328QLnvvdHP07y
hzLYxM+P+vnpBYR8/8enw45fVJBb93706UO5Y80FhGj/Rwept+MiEEjyvZ99tol23GECn/0Oj66q
h11r8h4H9Cyr/vXfqfcQP+xamfc4oqvNNy7g53V4sRHf44iuNmWwa2ne44iKZ+fZrttd4Er3/llX
D+m37D7YdXsJRYt3eH55//Dt+UE/112AIPd/eMZnf37Oi2e/xzFdZTvX5D1OKY+uH8qHYccnf4+T
ut7kOza6aDjsveDrh3bzNnfE+Oo9juh5ueEKeP6UL37O9ziiF/Hm/mFH7igGFnsvy0XcJLuSO4Ha
2fvhVwGpYxV827EyAhCz9/OvN/clJUFa74ilAmfxDm+Q/mvygEj3rjd4j6N6vRFvUKab8tvOi0x7
j0Mr3mQWPHi7vsR7nFrx/AUn4D6o7ne9x3scX/EeJ9mmaHZFKzExfZff+qwJqn+dfw2qfNf3eI/D
LL7HalM/7Hr+e5xnno/e52RTft3syhnE3OA9Vor3mOKEseOyFsOz93qHshmfH/bzTtXf5WD/ycf8
sfOwRyfhmh7GzqV5l8McVFEwZM2OhXmXs/wnp8m9F4bEJNm1Z97l/P47W7a9P71os+yIwwK+tPeO
v3nwN7uWRsw09n84OX5Q70jaBCJz/6f/yRNn30W/aWgQJbv6cqK7v/dn/7NBwb4f/jNuxs8f8ucF
Jjrye3/wP6g4//lT72rL/sA6vG3WPqs77vpnv/aixd+4jx825X/9PwAAAP//</cx:binary>
              </cx:geoCache>
            </cx:geography>
          </cx:layoutPr>
        </cx:series>
        <cx:series layoutId="regionMap" hidden="1" uniqueId="{446E73C5-7EBA-4ACB-BDF9-0911C02422AE}" formatIdx="1">
          <cx:tx>
            <cx:txData>
              <cx:f>_xlchart.v5.8</cx:f>
              <cx:v>Sum of Amount</cx:v>
            </cx:txData>
          </cx:tx>
          <cx:dataId val="1"/>
          <cx:layoutPr>
            <cx:geography cultureLanguage="en-US" cultureRegion="IN" attribution="Powered by Bing">
              <cx:geoCache provider="{E9337A44-BEBE-4D9F-B70C-5C5E7DAFC167}">
                <cx:binary>7H1rc9s40u5fSeXzoYcACALY2tmqJSnJ8kW+ZjKZLyzFVkjwBhK889eflp1kLVrO0qdGderVOZqZ
mkqoBlt4AHT30w3gnw/dPx6SzVp/6NIkK//x0P3+Mayq/B+//VY+hJt0XZ6k8kGrUn2rTh5U+pv6
9k0+bH571OtWZsFv2ETWbw/hWleb7uO//gmtBRt1oR7WlVTZTb3R/e2mrJOq/MWzvY8+rB9TmXmy
rLR8qNDvH911Ir8pncn1x91n+PePlyqrNnrTf3BVnVX9xw+brJJVf9/nm98/7jSEP374bfy+V7p9
SED9qn4EYWKf2MxmjJjMfPqQjx8SlQXfHxsIoxOb2pZNbGj6+bWrdQqS79HpSaP146PelCX8uKf/
72lh55dAj/x7Qk88bHtki0IAgPz+8VMmq83jh7tqXW3Kjx9kqZ66TPeu2v7cT3dP/fPbLo7/+ufo
L6DHRn/zAupx9/63R7to/hekl1mvDoIyNzHFJrPE82eEMuInSAjb5pzvojxVn/0I70hPQHfn+0eG
7L+TXGabA2DLT2xBqI3od2wBwZ0ZjMQJgw+lzNrFdrpG+9EdyU/AdyRxdAjDwvi4PgDE7ISbFsfc
Js+zl40gxvgEM2yx8Rr972SyRm9BvNvAJIx3RY4M5Lt19sHZgJU50DJNMUWY0P3LNBhjy8SmjSx7
dyq/T6v9WO9pYwLce6SODPGLdVlusr9/VlvmiQWLNhf42fMyX7le5okNjy1uw3x/6XpN12g/0iP5
CSiPJI4M4XPw9Mu/H2DwrQlmsC5bb0xnsMw2PAMfewTwZIX247srPgHeXYEjQ9fbJB9WCgK4vx9h
C50wagHEiL9hmK0TbFoEDPMoenqXUvtRft3EBKRfCx0Z2n/AQlnrQzhhACU3OTEJe8Z6j5+NBUGm
bY5iqHeotB/pcQMTcB6LHBnKyzTfaLlO/v4pTfAJE5hTC5DcS4ggekJtSili9tNztGub36PZfrRf
tTAB7lcyR4a3q5K6PMSkFrA+C0wgen5GG5bpneAZIisTJr0tLLqL83SN9qM8kp+A8UjiyBCeJR88
pdePhwir+AnDwqb4e/QsxBhkE+a8QBane6f0u1Tbj/brJiYA/lroyDBfJJvsAIEVESdAdVIkMETJ
49mMBEeM0JE7NlmT/fDuik+AdlfgyGAFSqBaf3DW+uv6QI6YhU0IigVQ1k+fEcrbsEpwYiFYtr8/
fxk9v1u9/Zjvb2YC9vsFj2wMXCc15NYO4J6JE0FsBmv5d/BfUaHmCTAmggIlvmuwp2u0H++R/ASg
RxL/AxD+tYo7P3mbx4L83PPE2pOIfG8ekp1gatk2zOlnRwzc6p2lezupEcMMWd+B//Hu52zky+zp
2zrtR/al7M5vfP6Jv+6U/3EZxrtwXcLy7P7dmWSgMyHDZBNOvmeS97jShCOT861Z3lmQJ2u0H7/R
L9oD4c5fQT59JHFsCEOK4hLy34dwpdmJxYHwgtX12bS+Wn4hE4U5soQ1iovB6k1X6g2cXzWxg+v+
goHX7z0ytP+dQtCk//75TPgJgYyiiTmkjXeWYgzhEsPAdZnPa/UI6ekK7Yd5JD8B45HEkQG8WucH
WK4BXiwgNwHJh2eD+yr7BDMZkk8m5aNYaao++9HdkZ6A7c73jwzZ50jA1fVwgOlrnwhmIctE34Og
MV29ZbYw56Ypxub4KXybqtV+lPf8sglY75E6MsQv14+bg8TEgLYNZQOYfecxx+4zrNmmTcB2IyC/
Xjpf0zXaj/RIfgLKI4ljQ3iTPaoHmR3C+RIn4FgJwdj3JfsVyATYbGYTIkb55Mv3KPUGzq+amAL1
K6EjQ9uFwtyn+XyQkApstLnNLJO3Uo6whiOY1JShUcrxvXrtx3xvKxNg3yt3ZMif1ulXlTxWf7/l
hkCacSjxsl7T19YJshExoRJwH7H5HpX2A/6qhQlgv5I5MqCdujpE6cg2SQGFfuBfv1G2C7V+FBgx
BA76rsWerNB+jHfFJwC8K3Bk6N7XkFlOD1KXzU4Ex8KyrDcYTXDJCMcIcQyh10uX7D067cf4VQsT
YH4lc2RIA8u7bsD5PkRSYrt7wsYIiv3eqCKASk6+rTMY1+2+S6n9WL9uYgLYr4WODO07lan0MLSJ
RYQNzMlb+6WgfgjBhikItXZn9XSN9uM8kp8A8kji2BAGNniu19mDLB/Uj67ek4gC9up9O+IYuF+m
yWAr1LOT9apaBJ9A/hlRTkah9JZq/qnRFL/wDaD3NjMF772CRwb7rYRFvJSPB6jmJQQstkkJea4C
Ms1xfI3YCYElHsq1R8i/S6n9qL9uYgLir4WODO0v9ddDLOJbIgVBCad4y16D782ZzSGd+WNleU4z
T9VnP8Y70hPg3fn+kSE7h73AByHJ7BNGEBToorergxin8A8aFYhM12g/uiP5CfiOJI4M4etk/bA5
TGKSCyj+giqfNzJX6MRk2/pt/NOAvwyvpuu1H+eR/AScRxJHhvPW7bmoZfnh6qss80Pw3hQykdhG
UNe1vzYIImkbbDZQJSO7/H+g2n7M32poAvhviR7dKHjQsPE3O8i+WA6lRbDJHfB/ntGvqk5gX6zY
/gN82vYzYszu1u/R7a0R8KqNSeC/kjoy3C/W8SFccXEC2+YQM6HI5Omzp5hMIIps8NJ2PbSp+uxH
eUd6Ar473z8yZM83+hDF+RRiqCfa+3uU9SrIAugh6YVg6+wuslP12Y/sjvQEZHe+f2TI3m/C9SHI
Mchcwa4426T4Dd97e04F1OVDVuN5z/tonZ6u136MR/ITUB5JHBnOlxv9AIchuX93qS8BHsS0hc3t
7xTZq9oiONqAQ3SN2F57PF2v/TiP5CfgPJI4MpwvVPnh31mwSTaHSG5YJzChMeE/TjEYgw1nR2GL
QK0omOvtZzSp36ncfsT3NTIB9n1iR4b9Nrw4U+uilocw1pDDpHDCAQbC++nzqkgUQRUpHHAhxHPd
2Qj7dyq3H/t9jUzAfp/YEWLvyU1wiJj7KY3FKGyFH1V/AwmOYJcH4j+2AOx6adtun6zT24DvNjER
7l2hIwP7cq0PNcWZBZPc/L47eow3+GyUoO12S3jykkebrNB+lHfFJyC8K3CE6ObqIEccPG3ZgcJg
/n0N3xNwCdtiHDLa+6rKtt0+VbO3kd5pYSLYOzJHhvdq06wPclQgHGhhYwbH1HwvBN9jsU1gUqHq
bEScTNdoP8oj+QkYjySODOFLBXXgf3/sBUdOQUEZ7G/+sa8DYBzvzgKHDfBFo9zlZIX247srPgHe
XYGjQ/cgyUsIpeCc1p9x9baOfwdc2AUN2ysh/WWOMh1wGvMkL/AtbF9IT4L2xfePDNn7OlnrQ1Da
cBogMbfE1xv1oFtsBVQdITqauNM12o/uSH4CviOJI0P4CqrGgkMgTOAYIUhLc/uNkm4InTiFXbP2
mCOZrtF+hEfyExAeSRwZwndyow+yzQ6K9m0Tqrb5M6+578hWeAiH0/D9fMhkvfbjPPpdE3AeSRwd
zmUse1UfxM2CMiKImX4cuQ32dscSQ1hsw6nrFHZV7obFd3K6Tm+hPGphEs4jmWNDGmglBxKSa/14
mL2VsLUKzvkDVut7wnkcN8HaDZs5TCg8GsH9bsXeAH1/O1Og3y95fANge2oN+GaHKAiFhBYkMKDY
4K2EFjrZemYQNo+KBoHufI9ab2L/qpFpwL8SOzLUv6hkUljzzhJ/uDKDwVUosPluvKrDgc4MMlmw
zXJ3mk9VZD/AO9ITkN35/pFBClfzZLJM1vUhcpUMDlQ34XhH+62yISgNNbfZSjYis9+n1X6U97Qx
Aes9UseGuErWL/iC5xzC37FTZ8uWQLy1vb3q6TNmtsFHMy0Brvh4293dZI3eQHpXfgrKuxLHhvB2
j/QhSr1howbBGHZWfi8oepWcgtvJtmPgFZt9N1mjNxDelZ+C8K7EkSF8D8lHuHHuAIEWnHYApX6Q
gPx+TtGY8oRJvDXUcJjryCS/Q6X9GI8bmADyWOT/Bspv30z386I/b12tZ09XBL64nO7XT5+6CO42
HIl+z/juX62fV/Ll4+8f4UAaAowHBE0/91puG9rJF//cc/zDs9oV3MCxlL9/hAsH4aSi7Wy3bQuK
zOztOYLt5ucjKDSBoQDJD9iAub3tKoOLPUK4xhAqxLfZS6hKw4hAshoelap+egSkGwwwcAu2x7jD
gVj2z3scr1XSByr72THf//whq9NrJbOqhIYJLDn58/e2+lI4D41A/sWGN5kWbDBhoF/+sL7dXiED
/fC/soA3TdJwdWWaSXCaB/4iDAzuaNKe16zp3bbG5UVXY7Ug5kAWoquvs8gaXJKlX7WFlVca5WnS
h3QmCFxbGLQ2cSIrLNw6tAYnMlrshRU3HFbYg2e0XXpdBOJzSAftNpoQtzOHc+6TC02tU64E9agR
Loo+/+zzQLlDwS8H3VczpuLmFC6uPAvSqHBii54NXKZOYLFLG1ufAprXTiX5jWhZ7GVa3lSmXkNa
KXM5Df5oUpo7rQwDN+tY48bNcGln7HPnx6WLCPlTJOqz3TXnIkYXLUvuDZpeVrzNXd2GnzLtm46B
0tPMb8/ZYN1mWTRHgfEFy84NimBemQVzS51f5Ez9CbeerUiYRk5Iu0XT0cyBQbGuEl46WZeEjsGq
mbSH0EFdknhEd7bT+0U/4zyrZ03T9I4fpVe67bCTBeRUhVg6XVuv2qSpnWBo0YLG1Tyyi9subiKX
xihzDTxcE99+wFV+H9f9vOUodUiQXXeWPe/DdClxWjk+K6/tmn0KCz+Y5Vb/py1L6ciW5h4cUxu7
SSbVnMi+9DLMFpUebnSXsTkKk7MOJZtwSAuHV/iTHWrk6gT7rq3EVdQwvEp8dtrx4K5YWeHSriPH
bPm53UeRC+ziXLJGOVYhZ7IaollFqmaha/5naNuBUxcZdhIlFyjNMidO1UPMbOVFVR85uEDzhDOv
N4NZX/Wnsm8iJ02jr1qTDZypvGmVGZwGhbUK7GDZNUXg9GaTzqI+sf4gNDY9s+fYYb50VVacpdRe
JhRd0jqcax7Ec5RIPeu7Drs4sPsFr3PFnIzW1axtjBuZt49iiFvtUlNGrqmLxVBYpcOq4swyCuwW
Vn4qbBU6CvuRk3HGPdhGf4qNIFso3a1jYd1LU3lNmc7MynQDGLowjsRnRRrihkXV3BUWKmZSBN0s
ZnUPAyFkLhpqNKuSPHIITW5FE3g29olDZLjMhH3hNyVy0lhHXhJEMC9YUs94lKM5KRR2oMrVnBsJ
SVxTDvV5j7Mb3wgfSNBaN5Wf3nJtmU5nE73MS/gtYdW2rjHUs9JSiROYw5VSMFOitOscEubXPqMX
YWqaXm5GlmNH0IGZ/VdVobNS3UjLyh2t+TXnqb/sbLXq/KR1mqo9E1g9WmWSO0UfrVMrzWcsLmPP
6IzYywcYHy0tMAwJGnjhYCxI70bDXzggj42+iKJlqdqZVEXvFj4Mgyb11/0wNA7ui0t/iJGTEeOu
y63TDIWG0xfhH0YQb+IapgzOFIztnM5LUSxTI80dQTDxmiS5LzL/m2hU6wYdjDuSsIUFF8fOrG4o
HCMfKqcJiuzCwB29RFl6b8i0WHVNb8CYZ9GMicH3uqEx3Nr3lRtoUzlh21w2OuZOybLISYS8CzWM
ZmoFaKmTKJxZPiDe+Sl24n64UX5uO2ggyCnTZnDz3rglha49E97khEPhO0Zjt24Wx/686avIU0Vl
nYaAV2OFZ3EPbdWkuEktcp6o8s70zXufSuUh3Jz5nOIZGYZOOqXSOrrKO6T/jAUt25ldZnbklnV0
XtdNNLhVQ1I8l62feUUkyy9cBKF18fKi2R1D86DyXssg/H5n8M8//utepfDv082z//nL7ZXD//nT
YqO2G5HL8Ze2PsHPb/3n9tqtDf55le3Isj/fW/yG2f/lw3f5BBbYz7d9gv8Ev6+dgq3kC6dga9Xh
tjQg5G22PcTwp1MABRFbgw/HoBE6dgpMuPcUjLQJx9XCLcY7TgEcnAZ7yr4f5mG/0ymA94+cAhMu
2IXUH3CEcFXn9gaol06BwQ0S6y5RV3Vvx8NlhHMarcAXifCsqtLkmsmiqdw0oSuaF9d1yB+sIGxn
Gqf3DUqUk6L0osD6S9Krs6TMbmUqvcrAyiGRf8kpvcw7FbsZaxcBgQVOl/FFaLafhyjbCFl2jmpw
2bqxrW5oMMxRaoE5HRKn9sPYw1YNs7eKLqvagKWMW54mTYa+YgPmWtMGybwNGo6WwKtoeYZjuwoW
MTLAGTEbYUsnzUlkO75hktyxm3zJJEsXBRNndsIH6574FZOOn7ZR7YmnmaG3kyTaTpf6aeY0z7MI
5hN7mlnJ0yxjmhqeKLmOTuOMNcOs0IFZzMDoiMBJ2u5rbaeh0ybZZ5bT2q3CdsEboRe5tNe5r3yP
tUV3E/GknZNaXUrfLFxcVpaTh3JWDOCChILMlN98wqb/h6GHZcWM24albta0S6vPvMaoLrqWXonG
7h2e21sbfduXcp0b6jypmeGoqr6sGdhZZuSnPGSwfAt029TGEna4zDK/WPEg/4aJdlKjPUWyOmvt
9DTwi4tAZKsUd6ta6a9mX96KMDnFkf0pFo0XUnbqo+DKDpvSKZL8LskHh2XSS3Jz0dLyVlfcI127
jGzrc8psxxR8LXh5lkRt7fKU4FkkvmVIzawEfKe2nrWKL6x8cJEqL31ZXou4+qLLwWM193IDzTIW
rgaVXvG+dwQdVllpnZYd/jy06rLBkWOl2QqwdPOonYswXEW+WpVEnA+EziHsPYtotMht8y9MozmX
1WVOqq+B4uCbAPQBE/cWeDgyRQtudxeoKSunFuaqxqHXF9FK2/im6Fu3GoxPNCTLJNoiXCsvj9Nl
ibjDJXeEX2yEVbpNlnxmUfhJmeFtFRpzP6cXsDF0jut0ZUZN4tg9uJxW97UBJVyRIS/OEBj54Ywz
8LLC6iJgaG7I7rztwqUqtz5Yrzea4dtGdLe6j4XjBw29YVQvpN2GK9u3LnuKwYdMzGiZxkkROhIr
gnKngf6iXXFl2vSiRTCkamEtk6Y03MJucy8vxWMfdCuzSz0rJRdMBjddUdlel8utCWUeKYq/qqiH
4UdsL8/9RVc0/dwg/l+DTi5b0YVzntb3cevPiEEY+OlVOcNqkA6Ks9whqcVcI9SdmzdGNsMhuvQt
69bSUruGBS5q1AHiTSSuo9xYlFbq5U2kTvMwNlyjZNG86NBlFdWL2A9cKhS4mWU9g9EBaGFcOaIu
rws/7N3MKs8xgRAj7MvzJJVXlh9fkMJYINLOUrtY5Rjc6rZIH3IrBTAGw8Nt2XqR30NnVfYNTfhS
VRHxtIqIk8V+7PhDV7lGVLsKNuq7OKSRE8n8IpVJ7cSV4aZY/VnBPn6nx2njGumwqhG57GL5aJMC
HD+OT/08o04nQ/AWo+bWzvAflbDPDBqccqNO5kmf5eC3tZdQLdc7jQUrQGokuSvyrPZw4dcQwuTF
PKr7C1Wg1rGJvIrj4lNj17Ybht19YFMY70g6mVG5DY+v/AS6JizS2CE6+iSaNHOFDIVjUaO9GBRJ
zkNqx+7/t/1PfIAFBvcXtv/nOdN7bD9I/rT928NYEFRFcXDG4eTLl4QAPoFNwnC0GqFgep+i/h+E
AKRroQoDCnHg4nMOt8GARf5BCNhQhQNbmmA9YKaF4IDs9xACUJ/32vbDfghqQzkAVFGDKru2X/iG
sgPO86usg3gQ9bb2NE6wl3TZZ6kJn+FIgwuLNUSMMUucgVbLgqJvjTJTR6Vpe9YmFXHSMI68yqxP
A/DI4XQTCrGuIo7K6mheB8ksYtHX1tedg5pCOk0GC1tSNdmMpZSDP96Laxi3n6jm2ilaAutWPFz0
cf8pCCoFk+SzH5H7NJXZFUO+4aoO5kMtWTAzOyTP0iT87FtBPIuFuOFx1TnAYGyQoet5gI32PivE
qW2z8yjv+rnZZTOj7G5hSl11Kk+WiVGsmkwDuVAsqFlGbkO7i5Tpu7Ck2tG9uiwpG5ygIovYFKHr
B+VDL9HgqCBoZmzotUukvwhkcWeJfh52FnWEpZ1Sa7lsEvYXQhDntV27gpDDw3wIln5XcLfu0tNQ
SeR1cR16iY49MG63foD6U2og6JpaNueJHGInpcFK5PJM8LjwoiSZDZXxGEWJcGRRMCeAeLodWgnx
E9MQVcSWA5GSdOqBzOuEXwM1kDgEloaERblTVeQ2ytmtKh8xV98YNFf30GWyyGM3ROU6rDPLLX2w
jRarvEgR7JA8Qg6xsaOSJnUg3pau3ZdbAucWgnR1XaTosuiibmYWKJ9JqkoPrjjDiwHje2t4omCE
xw36Kc96cVY04DSxSnp24a/MMm9c7sdzXybnpaquW195VWIukjabq07UHqLyM9hWa5F1sBL7ZRp6
Iinmg2SXfdH/iVU6t7LmL6vt82VKmlswcAMEXu0G3tzNOpJsGlagKzhxjzgF6q+jjhPHj8NLURv+
RUP0V6R95lQa4aUMIOANjZTNClYLOuuzspiZw5zG1Hd01OSroDHYWR6o8qYrFU4d1geVgA4qDIfa
/JHnvD1rKHG4z+Y6704r4s97SlqP+PqLsNrQBeft1IpzeEUZOnkdn+q2L92aQhdz4OOMNBw+kVwh
x8LgdpCc3fHCPq9Qv0nCIvZQTG8TPwzO7aGZDWmzwmHrIRFls9gGrzcrw8doyMWyUuyxYwxiXz6U
Hm1E6SlU3lSFgi7Wl35sco/pNj9TTLupBH+xiK1ZoMCR8gNeA2EF1JDqgMvJ2qCfR8j/luT+daL7
GtyFyrxqwlq5dm1hzx+S8wJn5mww7eI0qIH5Q43H/OysjXDpSR9/iYAHAGqsqi5CyzAvSavpxjT9
+F6ZwKsAIwmRN0rCVjn/L1qnlyaGwt01vzJMQFTLb0pncv1a6odRQlAvtN0Sa8LNzk8G5kVAap1A
vsI0IRMNFgsOGvvJUluQj0Tb6m4wOwKIav7CKG13WUGDYEA43KC0tXI/QvMd8gAY+u9/fslSoy0J
vUNSCwhA4HQMG1KjBLZvjmxSNRCVF3XdrbKWiFnT+mHuKBKx2I1Z29zYBu3Poq7J4plpQqxQKav5
FFtlVzilyIrPL3pvnzaQwhlrA5VTcDoqsPDW9iSfXQtpZX0ei7CGiVZkaBXEQ+Y7NVN26HZNpYTT
tFb9hTU5rLg65VXhFpGOA3AgS2a5UAyfPYoKpgu0EYJflyTo00ANjha9Tf0N6g3UzX+tMYazOl9p
DHQDFxj2v8J52+ZIY8lCwLavVqSjARCK3ZB8aiDVTOYV6xWFwKBDkSeZz52B2b10+tgki7TRPfJ0
o6rHsCtLcLKNnHplJVXjVGloNg4EvXEAS0QUXse1OEtLEZYebKsWf5RhcR4nLe1msjTsS6nDJl38
+le9hgG8aRNuN4bryGEL59OPfpG5YL0RtEaelKus8sUfKuAIKMUYw9AAf7m7bjst7nIfJX/++rVj
/wjcLDifnhE4/hb2GGKyVevFa6nZBVZeBtkq4wNaoTisIf7UruR++Mev37RlWV6O+u2bhAlXIAAh
BKcP8NE4yzOrHwodqhXPTWtdtEonC7/iPdCJeQiWtU4gDQMUt3IjQtv0vw2a7aDYfT0MFEyhvAQu
soPVYfR6KFOAhEmWyhUrYrpOo5qu42SrAx3ScmZrpYBuB+gXbVK0GIyFYpsqEeWyFb11sSWZTZe0
ERA9EcvST0TnwMSGELNvcqPJPdMYUraN4ix9SokN1uDXvbc9/26sP9suG5Amw3DHl7UluV4AZdo1
zSj1jUtU++la6qoMHGTEVWY5pO+z4KwNZfw14CK/AA44nNvK6qSLUcO+VWwYlNuHAXMtFTUb8HvZ
Y0PzkJ39WkmLvgKZWMBAA3W3vbEXZifkHF9qaWsuTQjzyWVkFbkvuFeJcFh0VUfEvGrq2tVdYd40
aU9rJwzBb9QoW4D3nS8SK8cuhPfpbZ7QtHNY0gaf2yhVy76sKienRf7JLmPu+UB9u7WKIsj2VCRq
IcNUZqs2N8qrwhjILAjAW3CMwc9SFzdhekrtKrnFUXAd9BnpgNtgxaryi/sKpwbx7AZDR8oew9pg
1QPwai2PLpKQ8i++WVtnoc3RxRB0jXBbM7RSuAi6l0uD6z512p4PHmqBKhui7iEvi+quNg0GxFha
sblfFvXS8sFHLELUxgufGRDMDmHsf4VaR904MiuMv+qUATGQl3gZqyxfokIkj7LJbZj3JI3vpPA7
5jSFFZxpX9duD/2wQJD7vCratJtZrS7mCHWomSVwEUXgAmXIC7fBoT9LS6K9OhdXoW8EpoeQqk7B
1GAg5U3gDCERkPzZpWZ4jrXI7yip6KIWkYHnpZ0Oa24rPSvNLhrmTcyDudF15hqXSfutDCAl4Q4Y
wiFI6uEmmHdVpGBytO2sD5qaz7XyweOvCCQZ4asObHDVCjo6bZgTlVFkuMxvmcMU7QbHqhLfJZWR
pQttx7PAqnvzpiXI8mSpzcSJYCRVc1K1olx0hHUXQOEOiX9Tt0WVgrMugWfQj6EfYjx8KVujY0BM
Cg1LuXrAkGWogP+rq7rOzVUVV2ncnQlZDItG1JW/TLWUkCDCibozmUGWUU9I7daAgQ+ZGFN0AFfK
uZf5PtjDKonbYmbHbWACG1kh/yosTJup07hnLbBpXSKqC7usCIwocPMRkL412MK5bYSRf9XA1LED
twAXGgYcict0nkHKTjhJAcbLn3WNtF3Dhzs4KaTOTAhSVOmnqRuKuvXnbcKSdFb64BXMaRakg8sH
CitmhmOrdtNQG4nTlH1QXpfSSNOZCiT/ZtQNk5A3VLhaSIvXfEUNP/DPMsIqRiNIH5fF0J+WUEav
w1kehCyd+WUzFHOhy0zO+8RO+1OzLNPcpbhPpMs62icLLQtpuAAr/mzk6YA8OLU3Tj34zzSuksg0
SujyLPscpalIl0SLKpnFYWXfDnVFyDwyFEbnYRtCpslhIQ6rha+bPLsDY0zOomDA8bzOQYOZqpJg
mHHUDcLlUZ+3lynvYWgbMFW05yNUn2lCaeIFPglqj2UNwClZCf5JNkRk2CQxnBfucVAg9UifhsUS
mdI6DSSLbRcD3UQ8qaTvDbUfU8dodQ5snd9GFsS8RTQAvR4NxrnpJ9Yc5X5AQV3B8hnqw0EtQ4na
AIJyK2yd7fccJKTIYPgEpHC7VkKcVnXS+EtnvQL/X8I8wis0ZBIYRN5YBrnvkxbXKzsXvfIyUVSQ
zc3AJAUli0FApAR6y5chyr4MKMnCs6JPk25etnSQ56gKqnsrwnRNISnnOxzB4J3XUBJAZqU9SFC+
RlHqJaSAugAOJKZEsviStC14FlEQNXcltduvuQ7JacPawJ/xmJqQp4f6BTKniYq6eaYbtBq6nFg3
ZUXRPaoM+EZrGyV3IWKD+LPBaSRPdYdxu8xYUOIraTDxR2YW28EZRUW5YEkZltddb1XcNYsWsAnb
DBRTJSy652DBxB+EmzC6U1gltQdHF3VqWZXCx9eRruP4FvMMmN3OAoL9suqqrfMZ9t01jQ27m6k2
hVcrtU2pdlAYMCzMmG1//Fb1FtYn0CtP0cqiGfyKuqDQVWGs4sEVcQNTJ0+CWN5kmsGU1zV4BQE8
gzUVV1l4VSCr1xmEv6EJcLe6qy9TI8xLR5p10c07k5lk1jcF3i4aMJlc+EX/m70v65ITx9b9RdRC
QoB4PAwxZuToTGf6hZW2M8UoEAKE+PXnw1WudtndfW6tde/DWbffqhwOHBGIrb2/SSggS0S2PnmU
7VOOc+9PfC4BovPCr7EurAhejfTwMZahsvfeuLj6LNDmVueul3X1wLFb7LV0ybWKhHphLg3AqLKi
pKeOi2g650Un5tQOoTJocK237yl+1sQNlf1SN7V/u0za7Q7KtXP9EZyH0Ic2d9p3u0ZbDSlVU6SY
A7iXldQWetcHbfTRcfN215peqDhkKHMWYpH7shv1OWrrCkIWOlCBsgeYLZ4LGj0NlTOLrKESj8nq
5F50ZLIj6q1FQbYnnPOOZ8NsFTurfAe/6DJjoMcmY9SZDBMNkjwCRIad1ptdtN6q+jREc/TBsWjT
T2sEvOLrqKXVoN9IOB9LQze4oyXFmjCzSSR63Bbw/XUU7NZunsfLYsPmoZo1SIVQH1i7zP5hNQFu
Tu0Sve77pu66iwwWduWMLuuyQsl2Pgtr+gLCGiAvH9CJ6K9uJFFGUDr1HNeFNjqOzMwVdgGrHhqh
SPlMutXjc7yiA7OP/eg5ES6m8yErQqcWJyfvzedCuM4MUEoH9bGMXAJExclXiEWUhnhknbBISwpU
/napm9W/boO+aWLVz25wYaRgS2LR3ejMFD3umuGyFPGwhi1qh9ZNRhZvGcBjUD7sV66w+mu2CMhL
cuvqJO91oD4a35IPVTFgrWGni56w1lt9K8HLoMDSPgJf1BaBAZz4QvkEnU1c13P46FOpTGp8MbIL
yxs+36tcRxCXCKzorC893E0MDna5Kr2x7q7CoS+8W7q4TQDor4vwvZbFEZd6cHqTtjpHzUA3No2X
psnx+YeoFjtd8LpIzeK6R6sYnnsLCBOYHEQjl29d6R9Ku9vfm/zfZWI/suw/ku7/J+z9pfwydLp7
H3+m7/9yof9tHP9mdv2hif9F9/dfDRQLX19/xFI2ueDvb/uOp+C0I7blyXFs6Zx5IWaTPwl+gPwh
oBHX86jrEYqX/gHyQ4QXIZOfsU3Yt730HeRH6onPPMSDItoEwbCU/j085ZfZOQRgA/YBbAOysCLv
p9mOL0JFEy+mm6oc+xNvInYZ5HLmslGJPw1PQdtCHDLWB9mFzfpWdFo5dxPoQ6vWMkF70dxFRS/j
sbZ3o2AnEJPdTjXQk5HVAhcA4b4vm5nFrC92op6LI5pPSKD6nMUoD6JIolnJXRv2zfRgRf8SFbaL
nSBEv4AOoEp6qtlpXpz15PdyKfLEcluepqZOLc2dw+gM7+CkV0ASbr63pMNwROro2ExifuphSz/T
Mqgv3JPo/cuHfoKaKeOtdXc94SAzB8dNwzmSaeetXto0JaRDG1E/kOhch8OYKUESf6Tjzl/6a+4X
czx7XbSbm3WJnXxES1FIA6BWXxOto2SU6mUw4soSkxWuTammF5eJs1nHIh4riBNLlMK44hyCSnCW
Enc4FrkDAdcwivfcdMEnu1ZzvlM++FrMRGhXC00O0TDdF7X3wCtXTsc+KJzxriRSHTDVJFIVwUH5
VsuHYHSjIS6mPJxjL8zZ3iMGajk/99/rfDLHzXa6n6AtStdW3tpKXwesP8mmuFYuPfPR2XXanJw2
SLsVpUbJ2IVUyC/7r0bS+3KMXv6flJj/bcXDh3Hj3xePvpRvP9eO39/1vXYgOAGJJx6CR7fgG9SI
H2oHxMQhAFqcpPYNcUWh+l47+G84VxFuT6iGvnOH32sHTr6mSBZG+hkysVBZ/h4W+wtiARcxBerm
YYzH5ySbDOlHxEIMoakqjzc3DlEvohzRUk3NZ2L9YwMRZ1wFK8SwUxb6LRQ34W71xFVk1bXhLdpQ
00KXV6o2noSTDOFEd8J3d27nPZhyphkPuymZhb1yxzwNnA6zCRmfSk77pCHNVeGrJpmd4dDU+rUN
FuhHCfua01InvdOKRPjLeeHz13oiKuE1HkRU4Sywsx8TK9fMnZwmHVp/Aes2jQkYnQnsixskYyft
Tnb2llrfT6loztMCzgb797MHLCZFW/W1c4MTYLo+VQu0DGLW4OGEF/sFoCsZRrdrRD7O+SrwlJc1
sBrHxE044n+DqkxW0VNoV0UOOerRE+POhl0eKzQ2MTXL01qIyxjKc5/35wLfKe5sCRUOpfemrNMZ
0tGslvSSE/oht82IOjS1EHt6AGL1DKynhmSbMe/QerZMct5/5P7gJIFrxQSlBBhW8TDSqv+EaeLJ
rsycR65voDjR+4YYQAZq+LQItIyy3re9CWI2+ZDsGtTkyctpXOT8Ugj65CntgWY1N07AgqyuQexQ
fxXZGqFbF0Pk7J1uuvec4qvf5N0ek0tCMI+cu+B1XF4xtO1YH7xq63X7aQCjN2mRDb1pu6eIFPKh
cZu+fivF+hVil/vVc1Eev4ly66Hg/HUg1XWO9X10R+kelpF2N3TIoxvW5vpkozxhESqrCYPDOEA3
6hZumRRgYK+9akWjVHat2QPz+WikScOyLS7e0r2hD6QHtxORioeAF+v/l3QTHvGfzRE+OIZ/LYZ4
wl+fhl+aJOgUtmPE/rBGIGkVsD1Fw4OzDoCpAxr93iRtNTCMYI1A8BPopeCHQsd+Q+ePAsRgeP1D
P/G90OG8YAB58MKCFiDfpBV/g3RCs/UX+NjHoWibLgFBcsTf+rK/lrnFdcQ8DHK6Xm2dQKcbC+3H
JW//J5ja/aUXg6YDCRwMQLVLqfszuUUw06mgYv21O/nRY10oJ0jasLHrAYXeh5ZglBM7ap2vDxXF
KA+zL/tY8VC89F3FT4Ow0ZmEkDr3oGOW28J6957tZuCHVoT6PNeV9j7Niwo4eF41z2BuO5bObC7j
oHaaG1M1mmRl33cU2EAzgX13BBTtpc7lc1nbKPP5OriogV/8hpnrkPXNDZvcvklIXzd21+WLl2z2
BKeBcjsOS9N5N+5M/PpqbqqbYawNYCG5AJi7xTEnb77uv0r4JnLtfghndQCpt/edoNtTF9/C6css
YvkuajN/aY+5tSr1aghI9UDSxqr3gqM29Oya0P598uaHhqA6GjZUL2ENnUEk6unihP1wrQDXnJoy
uvRRC4nESmHBcBzvnQH+PmBscsEcqT5r51zFZeP4GTX84o3RtZbQgq2Uz6koV7ofZfhoifPc0EKl
IDwgAhlHQUPURlpgWeRtBptDmYFfxSVGuiN1MDwObPSWNOCyuNfQCGRTSIYsWtzlmTWlxa9IuzHW
9TSkzBlsWkHqoYKRnwqHkOsfnr0/xrkf+dN/wv/hcj5y6IE1wJ7m/9TuKzsoIRY+XOusfTVDTB7W
hzAGwZ+MBwnxZlykImv3YTZkMvZPbOdlUKsl9f+w1n9qHSBfwmwDMjjCeUYuSGOOsLcfWwd/Gcwk
NBitnIqTbYolqQV0771hFAhEHWVqzr3dQIMBElzuXkQ45CeCexTUqk1saK+j3IW4la6fRozNO00B
wYxjv8v5+ilEsxtXsDtsUr2PEKKGMR1gIgg1dHyLwTZGiqrFfr1k1ov2BsaZKl8TxXgOEVN02JT5
ltI9Yz6J1ThgUUQsgWbuUC0MgwIUPJ3bZwZtPoVaJK4lpDpzD0VxW+kUD/G1WSJvr0RVx9oTj8J0
B+K1l2nh8A/xHjAbFloYKbab3Orh39/ivxaRb8IwWDvCAPUSinIv2qrZD2RXtFIT9W0+XMMAU+1R
CBp8eRfWoLLI/K7EIKYEyvWfFf2fraqNmvoHQfjrv/nT3XSWORzmWuhrwLcvfj4kyyS6dNUhkKTp
0ikITEUw9LB+YahsoKKFHctercNUxJD+XHUlf3ZLYE/Q57znNdv1Sl1oF9y5+frFF+pTa0qVKqn6
87cP/n8b3vjfN3sw3KE/7+AvwMVDgX33n2zJ27u+b8nALTyc/YpDfFEuIqAN/9iSqfebiyki2goJ
nAFbkPIfswcyHAlqG+YOKBQ3dQEu+MeWjCMUKAd7G4EwxzbOAYT8nS3Z+5mT9hlcDpvSMfBhgoSe
4a/LHOcqQbbfqObWhXQN62nSMWHmaQ4DsR+VcwPYGTq7tbzUDV3iwfKDArqQganX6bzwt24qLwij
/MBq2SSSKJ6iFPSxFhDvce/Am2kXjCACF3IwwP/b1qlj44AJ8ciL9sckKE0Re0uRQVvyWoTVxY7T
G/TdmYE4f3REFVvSQ/nGvkBOs8fOXMaeBgMON9F0qPrhMETRWVci66i/W2mVOeCRYuLPVwHtHqFl
uTa0AGc5sHJfrPS1GdwdIvieIbbwd2GeA31Xrd0PpBFJ5PMiZoE++cs47zgmh5E6h8irwBxVD/k8
9sniQe8898udJEzEmvc7gNvuocWHO3swmSQrN9BmSSJjSNxuIq/5Ssui31vq13Epai92bP5haDoo
vaYldaVxoCerLgBOu7QUtM7kjDag6EMfRFdnIX7jWe3YU+GPMhWmeRwxh5xaBe8E7+6KoVBgS6IT
mR0Rh/54ieTG9U57Oi53JZifbFodgExo1N2VvxNnMbFD5d1SyDbGAWovVUVgaeixc+VdmEyNh10h
8D6sbflSS5WaBpK+ktch7HLlFWboc6Xcd63X4FCtKOK0nGxWaPi/SO7dwW/7sajw+QVcLvEKpVsS
wFU2BRg7e3Af4IOnt66qj45uUiOGmG2GSTuSAAJU/DvuosE7RhKi1uI5t+39MgCD7jhwsdWb9kKE
dazkaOPRwtdqKryvQXuRkrZm+7abYLbjH32S475raMgJ5EpogF7IVF6NVXkF/Bm0uSA8AR9fpozK
NY7AAEEU7kEqP/b73OuuZRFdqdIPoVrVEs1ICVtB96IqVQKPqzFnl0O6wAYbGHxQM0M8Spr5oIh7
SymmZuhGDjXJz4OYjlr2j5Mz7zstL0XX7ViwRDFvMVwLPUcZC9A5BE3hptydn1dVvumZQhG/7CFL
RwMjVRPLAEZii29lw9tOmTGBQeSB1w08sie1Xo/zJXfAkrrRUSzyhvjyls75ofHXG2cKonS2855u
6uFpGqBYKDBewlgA4yFwfqct4Th1CkzNUYCfHBeVsPUmPKBtYtgUpK07vxf1UqdL64UZ7bdHtdaf
lypI4Sh5D6tlOnaOqpJ8iqI9kf6xIMpP15y1A8yFHngCGS17x1mgWF68POnCAgYSBzIpaFdisRTj
qcvratfO7Ovkj9jHi/or3JzPap2+rIBFsk43MCV75tZOVZ9UZTAndgzGDOUInk9wlXQ4A10Yz6g9
UO5y9CjlohQ4xHY8+rKtArh/+sB/nN2a830BI8p+YrbHswStWbyEywB2dxILybh02BKrmXr8gNNL
LMw8HljOa+gC7PQQuS0ZH0w0OB6gjKk7Gx9g3/OwMjrf1GN/6AT0vz2sslnHsPeWpS9i5a6vZBD3
OvfmZATxz5icdoMzLHvuBGc/XMrUxyQTT03wRXWdhvEBTFtbsWcwizwpZkCOxF2Dk9dhMdeS1zH+
uhtbv/sE6Pe1qAaajhxdGBiRdyhd5sQrOjdmEgIi153reBjhDrH1crG9TpcShEvdOxcmhzsnn84t
7z7NpXlfHQ/6acz4mixoMnq/SbS3nAp79F3TxgBpXsu6uw/K3MQj9YsMaQwQ9I7mwaXAEHR05VT2
pSno+0pcXEUAJZ1bcLBlCsSZ2qVKmT9kuRju6wWlB1BCvCzp0pwbkC1u3bgpKNdXI9Zj4XlofJwl
SFS5wuxN2+sgrNc08COI0R3njmLHTE3or2kJMnR17TkC/ZzgV+gPoQTQqjt33HtsRm1nsGJHZZjB
8o5nKXc+jMBrffGRDho+VFblaeFAVs/ryOAfx0wa1dHBA/CUrEsDk5UpRWL40t20S2/gmTdXPRzb
MeeziAUJb0ojL1MDz9jS5zfg7OBE1ZDnjq9BZGxG5/rBQvwOETEE+nmEDcSvpsd8mnQ6GfkR4Van
yqnxGaf1GZKPYoenjmENrF0MHhx4Xje+6Sh6RIHeYTy8qttijClc7F7VPaq53DtluADec4/KeLcz
7+8jv/tcYqOL4W24Zu54Zj6eu1myfJ+vZLNeD0fhwBRvRyNi6kOnVNT1MfIth18XDTynaq/90iQl
0zd1Od2iE9lJOsLyTw59raCunigW4MTgsXbbOcOQpNKozsO9I/BqCLU6ZBjzHpMh2Qe04McRP2ii
i+bG7XWFsWQ8TRJuABVEp1Avj43s3Mx22ARRsuDMWsXeMeTcwJydWAN59YAn7SwIvQ0IwH9H9yoG
XtUeV9p48Zxj2rKeyiGK846MlbfFVD05AKB2juQyRpFDgfPNYQX4FyO94ZYO8wqK34NapFu+wN/8
0fPVjZbhl5V5Xxb4vcFcPne1eO5EH6SjVx7ztn92O37AyPJgOD17EBB5FDCG22zaJfMq2mY/hfQt
qteTmMq7lYQqjkb3QbKtiDv+DrW+SP7TdoP4Qzf8b6Gw3yNLfwXQtnf92XYD13cJOm8AOtRHHsgP
bTfBeUXAoNBhAm2PfkTCIoS7oRnGySVAenF8CS74HQmLfsNFkKyNIBoIYykMxn+j7cYBOH+Z9DbU
LkTkCK7lQzsBwO4n/fCKQIuCdqV7A9nJZo5FjENAPnUCxD9G5xwEdSCvSg4IqDQRvTI9/nyg4U1A
5M2k+l3AxX0zTZ/QiSWudZa9rotnOfh7Bd+JJzkQGgUwJHwhYKXiZhmzNazPox/qDXWD819Mj/0i
P4AEU5sXs0mUIiOc8/1LXsE24tOzbyvIYdTrCgiXVOszRUZD0i4jWlEJ2KUKk3otD3oC9VDJ9ZmI
8GCKukxYPd4uYfFStfJx5d1VVKln4I5tXPv03UHVA/T3VBN4+IGJ7wBx79ZwvS0j9Jj4ZntIAqYE
rVUKH2kQezl2PEj1jtBIx+iDAYpLtg+Vsxv0zNHX8idIZZe4H214XCdEGZicnSu3gYTXOIfAYFAn
5ZAfJsfuIUc9UjLHpg/uTT/d27EdHhvfvjY9jDmB4idRuB/d1j9zt2uT3l0uooZ40IjQyfxKHsbZ
qTCTT2fG9DGIoNdVuX+y5KuW8pPIp0fLfRNbBiwDc8Cn2tWbtM67NCF780K4cADQPgYrQAvjMlga
AcpBQ4uQDTMHGdQMh0ojNYObrJ/Lq0njNxOiYamxogqGuK7GebiG+ogUWR5W3X70S9AzY1faeGW9
Ox47zgUst5FFhMFYVbHq3AF9W8nyOdManfJrMyvYhkefjqjRsKXGi2cs26yWUD80DKhVAWyhZ9Gl
nRR8OZ33RRYAbpwcJhSPAQqitMN/GTc1q/4S5BODiEm9b/Y3tO5VamULrzIBZS38+j5ce3sOvfDa
KSjkWrTHNVz0mk7x3CzsRfLFJPMyg06uQWADqEwRYfG16vU7Woa3FawDNDDNkwA5EoOru7jzYuNa
0/MgnTKrzOhlzJ9vF+qJ1IvqAyuGF0jIINZ0WJP5OX+xI63jngVVHITmq+bUxBLmcawczA3IIYQe
DG7jSyOca/HSzKkU4iSX6itb4OhpsV4k6J56PQdS7quuv5s9zKboiR97BoFO0Il9gwYaWmm429zg
Y95jI/DxJ5yYj2JVd2XeJJY5+sroF4indZxbmMedMFzLFJdaYhfxOg5YaFh30JI7hU6aYZnjyeCO
V4W6n2wnjnVRnNdAXq9DfwJX9o7cgiFp2IxhVtl6+PKffeXbvuJiG/jXcM5/ta9fu+HXfWV714/7
CqIkKJpynLPgwxr6J8MCpAf8Mguwt/ykQuG/4TgGF9n+oF+QTfGjqwcJhQTnp8GRgMgoHKEU/p1t
BVT2z9sKPA0IswCcQ+AU8tlPAGLX+2vt21zfuI33Adj9A9X+uWX6rl4Qf2O22BPhQhpO2KGytkrb
LRol30JSxmXKY1ehtQqtmVKIRe9dtq4bEoGaylCK9UqQAYXJikW4lgy7ImsQk3OMxECRqdA8DFto
yyo7HpNuuTgKgS6txNBmtpAXZ/GRyLAFvzQzdTCVGHXtIhUmhELlgnQHeVVthvMuoAoyDrCYdMuT
0VCQ8C1iJigKEa+D/FBIDnnJlkPjDvqoEEyT81FkuoaiNGTtG3wHT9BsO3FD/UOHWBtny7fJlb6s
mzwTvf9neLJQGv3Jor02mRyOFbkiW1RO8Tp4yRiJQ9flIjXzBA/Glq0T2rpJZYM5mK66z3pE8JgV
kMYyDl8nhPOQsTdx5OILDXN+1AjwsaBLYgsX7Ho1IdtnYfyTj6yfbgv9iayPYQc5QIMYbsstGIih
cY9huL0By7GFBk0Z4S5uiYfdehRCH8MtZAisyD3dYoci5A8twHC05BBibtFEJSnIjm5xRTqcEVwU
QC2ACIwxa7ZYo7w2JB5cfgUk6mgn7Ij+UGBUlgi8Qj/ubvFIyoN1hGvokYIImn4A4yoTW6CSGF0v
yZGxJJyuiruy3yu3Ouk6/MAizLZbNFNr63gEs1zNRZR2tEC93TA4zF4H4wLQCJDv5BF8lxWJT5HX
VkmdE+ne9myUDzxH1BcfNBj37mZlw5eyM92Rzs4tFvhr1GHbHyohT0VNngc1XwZo0VMHk1taGu8N
OV5vc2jtTo8LspE0zw+Qh39u8YjGHT5KUkO0hGSe6cGnQmPadU9zVb30K6IrFIEcpyv2nXGulMW0
rxHhshsFxomuxpg7aH09Visen/lDIfLPqgj5QXoQ5FdO+5CjhYsXOn1UXnis1YjEAb87QRTUQGkQ
tDuu5TEQ/uNQuMVpHmWA7Xt9wDXNlZr9GfrcrstGoPnJNy32PEBUT6Lt5i0Ib3KDPEhJzj7qrkKs
2zpNsUaPcdJ0WjAbh2Fc2BL+bt2MGFR19yzcXBxkUQy3Febk2HgqXaQlOz61TyB3KnirC8hfq81n
3pW4Qb3M8qZCTlVZl3jaR3rU5Za8VQUF3OnTEWghhkpeHOEGb/YBPgvmNbjGURZHQFjQ+FcjIF4F
3m9Uh8oJYGNG5FNVjZCaNQ7Bk8aQ7uCiN7OsCEEigtFhgEUh0E4d5t9WIoo7PT+SpTr7w3TqPHBR
GK/mEE3vqtt94SAjQrY5DLc1uZ6X6bHsEP6GZLzblk13tTBPHLCGbtdnnTNEY8AqGLdd9QQ7zYkt
7sFq/WHkgRurSbqx28EsHzXLVQ2/cegO3a61iJCjw3LJB++ulgBuFkOykPYnOk0ytnp6Z37+qRTk
Bp6la1isblUVQgYz68957i/xVK/PTQEBB1OcZ9CTf9JtCJ0pUscAkvQfuoKdF6fvsrnBqoGnztZP
3lT5h5IFEsl/W8RU0cENsoVO/WcL/7aFe5ik/vUWvh0u+Y9TAH7dyrd3f9/Kvzl0kca0BQB/C4b6
x1a+ncPiIh5i25fDTUD/JzPj+XgFpCt8ZeH3oKnvI6L3G4cVdJOFBVt0lP+3YiMIRZfxAxnou3AI
YhbG9gdFqwtr5Pb6jwTk4js9zvAqrh14NlJ/bkewLtY7BrNVn5D0CPPXCFIVCDJ2mzCBaxb6sNwo
XT3aqq6yaA1mEPIDZSkYPwFYLwjd+W4xvLOvUEQRbAJiwQZH46WZkUgVKw/W4yWFdRATSh0StR5d
iCCF3o+90xQPHHgfwJhxC+dzQvTxq1irDy0SCx7ZKCqK+ArXPhQECHdMq6rY9T1UAjDQ6IMt0C03
/hQ+SVAVU2wxyzz1bcQRi+f3q02YhL0EmTRKJrXX81uvnvsXr1XVi+P3/gGnmUH4ReYmv4H2RfC4
4VV5WbXicB7lgNcSXgZ5EnX0KIXbJq1XTRf44NrrMJDzfUuDIoORg7KkhEMH02Dug+xQ/BOV7QIf
xhh1azwPUwDXHwf4n1SkCe8dwkFhrGNbHpohXL+0FG69QjDoQxPrKn+gO0QYVH0eM2+quyOfvXHv
D7ghsOQvzvwylgMhWT1j/mIVmQqJYKYiX4NspbAioEUw3rpGh0gg3ySz/SD2oTuud3qYq09eJPVd
FOpwVzVws6LYs+ID3BHXkad7c9s5+DVvJTQ1bibgtWgTkXeTOhYU7swbXtLqpW40/YB8B2h442Cq
0QACj20OridHaBV4n1dHRYZqObVhycxbYLh4g+Ix3MMile+asug2xh6KDCSS2rh1hjCteamfC4/0
A5yOTpQEqPn/qVzfKtc2K/zrynX1qvWb/LVibe/6s2JFv0HpAScc/QZB/Sjv2mjm7Y9BJyNr5seg
m9+5ZCihAKuR7RBX1JHvFQt4FxQOuGL4nYH+G6AWovR+qlg+5htECaBgufDxo67+tWLNU7TtdoG5
wbLWYVbMOTCIaYMjhIVqAgGn53GtBexK1TzXT2QiEI3j1JVyPPZrucUyBmt9pW1k1qxa6Lhmtekl
FiG8SoEPZNaEbdz0Q76icxqAeohlOCwBEdH77+wMdnw97MYyZHmaI+EyQmJatw3S6CUcBMgFgq5g
dWqDIIG1I2B7wm/MT0sFWCAc+9BiVOBen45AkvbTN8ZomAXzHxviFMEuRMxnSUkPdilg4wGua3tA
uzZV78bjy05UfMXDKCqUagiH3QNwgs2Iw5vPZS4D9ECGIF6zt3PmNEOAHM4yjKMCaJHbImtv9gf/
8+wjsmRdW28/AtcrYl8Jtvdt8R4Yh2Ge4u+VbBjSAiDRCnu81jtwITvzNOwX0BPnQvT6zMkMGVUJ
iK0ZkeHaDI78jKmxjikZYXNpwUtgIHAQV+YTVFVbugfkmCKoKzfylfBmjYO1E6cejs5bBlURAEQS
7UHDvtXh6u+9xkMmaDGzPdJkysxFaF9cC4x2zJ+a29qddKLglmv7GQpdpUzGHUQiCO69FdrpDv6A
UjTNwO5bBAJlQyfC2A2czz1CyA7B2kwJiZBXVwzDe2jyfN9jbonDFq6q1ECbh++ENN2uazUaJ7dK
KaytF3xmgGVd0J1qMyflVLkpMsUx6YTG3kVR7u9N1MF4NhV+DLtenXkD47GZUJjlivm15d5zI2tw
kqoC4bDNW/lGPcCsAba5nwGSIh5jT5pA3QmrQBwKM96FJSzUqyUKdJG1NWJWabNb4dnNNIbWWLOl
zxYSonlv0XTmi6wPpAENoJBIfPhP2fxWNjeZ6L8um7/H+P9aNrd3fS+bqI2bRp96v7d5mwnouyoW
L0WgcuEpIgS1a0tk+C7/B+CPniziKKff0sRR7L6XTeA5SHCAMQFgzu/F9m+UTQgXfy6bsCfhCAPk
QlDXR5rIT0qzmYJdU05kb8BK6J3rNBLpwS7E8LWH6RhYdLX4oKV9x0n8XPYXg3EWIPXe5/WMCCyI
5cvC9a8WCYYYfZyMJzh9gDe5SWM9vcMzH10HmKoPCHTu7yiDgAzVyzm3Vvh7XXXP0UqqxPHdL1Jh
3cPdeNeWHfL5TNekTo9IRU+ENytv5kR2MEqKHjExGNNBC3DI9SckOiWypXe15zTHuQV61OZ+hgwG
/+CEgDdAQOojqSeJEMdA+knZ1/eQMr6ZWj10ALr71iARDRXgWIH2Pf03e2e2HLmRLdtfOT8AGebh
NZFzJsnkUCySL7AaSACBGYH5688KqiWxSlIf072v6n6SVbGSUwZi+3ZfHgd5zp0rqG/03n2h/OEu
aPhXIiO7Aq06Ytvo13Iq83U0BkSC+NZYZs77cbjVs+Wx6OtPbBxOaSJfdM3aibrgk11GMyxhKtjO
zNg2OldL7X8nipqFvG2Z6MzhRHygCsEtN6HWd8UqcadtYEbfssSSK8evtlElN57WXJVm/SQUYNiz
6ihMk6LdjM78dUnJVact/8ESFswHvGhhNf5FWj6bB60vZ6WRZWGkcz41sAh8zKttjUXXm7Z6MGLV
7U69EWyNdnldfD/dON5wKifsyl7rQUSWgBTLXtahXYgibGGpc20MqtVo2p/rPr/qNTRwCNqbYTJh
ysyvkeduTLPuQjOKv4DneOs9zIRe5pQM4gsgOr3LOTfNS9TO7spzG31fixpLEeAFcqQrgtZxmOQV
2FMbozZGlMPAGliI6rbXC6YJF9XLz8VWRTHzAjSkVe56w2XCiD93ZR3wkCJV3HY5IFX2xD5LYXKj
UL7SLO7W3rzoew9E+oaTnHhGHIFxbwiIRuKSFTHZZemeotFnL9HIac2u44s+LzGw5eqLN2ERkJOG
hZk46z4CT7QeuyyDH2DjHjV7xn1jqbHpxDbKR3zvRR6/U3DW9mYBiD6qppDoFqDPich82oDLsGz7
lGvjrWskz6VnRbDlC3/jSPdcuOaeXCL8xzi4mUopkR9N3FkJRNxYlyu3NjBiQlBaiXy6qSbtwNa+
5WqffetFD4DA+lrP40XY+L0wVr8yi163Zlys2tG/HkZH3xBia1eRLAdiPfJi1dZ3oZYLsk72Vj5/
HUVwjd53n5a5CAtnec6bDjkQyuXWd4TY1sq30EXus6yaWzNOFLAiexULRnCifbulH73QzDUUXAji
qyBO76skHnlTp/lGq7PP5Vh9ZhhE+hvsL60uXkqXLIzR4aauQWwT87Cu+sp/FK12MuLh6AeFzrbK
2bhJfYwqIA69yhhh/V+JQHvumnnHdupctUW+Gj05rqC+PHXAOrgkWMF+qL1gLaEy7EdYiIh2gX1j
ZpWvrRvcNt//fSz++lj8r9PEr/1Ff/FY/DBN8Owjv0aTmUdK4qcVuQmhzPUtthnWr6yx3x+L9Ggw
QihBApKlZ6ia6T8ei+w9PLV2t0F58Yb5J7sMw1dxkD/M0KzIlbMdNUXHXk9jva6mjQ/6h+0XAhqO
Od+g77cXT2AHTI3ae6py2zzy7sqeZwPEjd8N+hVgwmjFRJ2scX4uj14wdveJXuW7ZTHSE5vaiLO7
w4ufNsnGb/TrPE+Cq8EyorPjBO0tkTQ+fiA4s+6XzmfvCVdQw1c5mcDsZZd0e6O2sm9ApFkDlmO0
5ixCC6nl9FKwmjhWDVtyW4MxD6Rvxhjq13hO58fAbDhDrS9zVHjHHpvwtqu08VRmVcDFd0TM7YhZ
TTnwMiDVPEuzDKhJQ9otdfaWqzYigcVpQna0w3YkxGs9G+wASMGvm2WJ8eDVz8kEOWOJuPdm9REZ
NggnUWYHcwlYImBEuMRG/KRn8zHtrXZr1+WtUzX6JtU7bde58XJc4t46JonubdgmnAytkYe0s4O1
niT2LstLG8aGGe1dg5U7trbs2JBpW0XVcLu0olyBDAMlrjnLSnOcjcj8Cn9BcA1DKwOExndH6zVA
DmNtrYvUMG6kNLEJe2N9aBJ57E3xgmthWhV5V65Q5cTGiOtjEjdLF0YDPzDcQC2HbqZvI9fYC5sZ
SmvjcHKGXdFlYHKWvv4yVLG4mjr7Vcsqfd3oMWKwA4BxxJecifjetbzbwuO+kk3TzhzyR5P1cXC2
gw6zhZnfDI1xqUz/UYd8gqs0PdSavmMIJT/dOJuI4YQnXoaINdjxlZT4JGFwnaRlvDpO1QMsGu8H
CK3o6wMQPdg5pBj0Gy8O9mVR7QbLOYuJ4Myo7xKjNzdLTh4alf/C0ny7xOlNsaTdyu2KbWAT61yc
+crBpUgO8RN2lXyN2fbEtp0/6aOXwmy/WqOB7QpQPGPfrnLmT03AIDlFNc/SWqINluZcXAMaq2RI
9LT/ZpM5opuF3Q93mekcjGXNu6JIs7PhqjRWP+NGq4PIoryknc6xa6aHfw/jX6Ud5oa/n1EYdF/b
9Ev+5+PY4ON+m1KQo3HBkBEwHAdzknIM/TalGC7ds/gpiQhg/Fdx49+PY+sXmxNaZ4ThA9F+PhzH
9A8TT/KxHjDBKGjCPzqO3ynFH49jZVVySNNZDg0LJI74/D4ex17SwDPQmvlqsmrKUQzgpt5VrS7B
b/qylA48KpaAbEWtVPeWfeVm2VhywRL0Zbh2dhcpiKpP48++BQg3rzjcvnF9kmEVRARRs3uQ4MVl
zvglbhbX3HJNwtHOHHRVue5bUvtinRU4YoxSptuk762NJ2mb6RCFEFIM57z0sjhoJYoHbHTWOeHk
yiQUIm6va55ZqyENzsLtshOdBeUaCXXetk4ArbfB1J0Xeh0WgaH82EZwbQ/zMXPSs1910QkgebbN
tCBbxXSfANExcWoU7Nm3U+Ala6ubqK6xpiw0svcsc45R3O/LtW5rzyi3N7U7lUcv6R8MF6t3VNiA
llK3DuNg1q5b4X7jiCrw6ngG72Pxtgjx4o0pb2F7MIrDGHnRubbF/KktiHCDL7yKpVUd+kS8dnCq
nk1WjLdL3lXbwc2btSdzSOxzlbBHD8rgNGiRsXFHXTva9aSfHWqtdmliosegdp9bz7v16b25L4z8
MCbzA0BK7Pc2JiudfIHn0pESRC2lT4RR1iyrqsPCZmBl6+yUpznTzkbCZdGbmfaehxoiTqRbGM0i
ns27uNBmbqNL27rtTcLPbgB3lV7NMKAAXcVGxC1f8C8B1gq07qb2AxC/ROU154Cfy3zQzD5P2QXj
qWyHMrhJhxl/QoWpLOYaKy0ct1HFjJJmwdtgBNnZrMgCACa7xxljTOt/T6/300vnrfz3pxcwwV5+
+fPZpT7qt7OLqyQbsd8vfoql/tvZRTsfRhTOAiDrSMJgVn4/uwIly/BHHF6Or1O/9vEqqXAIUF1I
JivLzD9zW3oqxPTx7OIqiQvZ5oBUqjQGnR/PLqKKMXb6yL7JltqbD4tbMZQNidVFN0CgLEZCDejg
HqA0K6g+uZ/V3Ajruaa4i1nSiGg5gcmZbfqgs9fSIfGjj8o2rubQnoHUUJNpz4i6qFm1sIC2toyv
+fscy0Ar1GCrJtxazbqDD33JV/NvGrhyDVshQhlhOiYYNWwSNTEnLmqAmqENL/08MFSnDNeumrKr
aV0Oyy5t2MUNag7PGMgXluGInwcmPCLVamY31fQeqDk+ZaAPRHvrqgm/ZxPGFty8IDegGSgdAL9c
uTajnPyRbN4sxALGVrpoNG/Tza+jUhMgPm4GpS/kRXk1KcGhjJlPlQZhSxiXrUWzW1YbjNEV3ITF
D7hpDNPJWlKxMRE0ej/a9tVwMhA6DAQPifAhLblpEUJMYZCNgFMQtoP12gUgOEeW/oG+MhfrXJLa
XhzO+D6O0PE9xvAiffD7vAQyU+8LaLlTJR7yQFt3XXlbt/op0foQxhOkMKe4xT4Y9oUN3XVK23LX
sdLb+m59NJziKyBvvDMcr/oQnOH2laGdo9MfYYi0t8ak19GLaPPY3HDexuWttnRzvSsMpJxYz/Qn
8DLoL+6QfWO82k5JOwLT6r8FMtl6ZqByA/xx2o+vjW3IUEiyP8UArnxOru0y8rnWwspvuuRt1FhR
CH9+dvXgoVumW2MwXqC7HvVqeU5p7whdR/K8i+3vqTkdRz2eXxSoHPhoDU/V4nQeEKIdHSOG094C
Ndt7ra+de695mFO+LJhAPA1i/yaaJLChZMHY4Kz7pMtWTuYGPERnfb94b4aobBB93ePQwWcrajyf
ObzAjOceefIU/Ccg1ZrmgRaScahVybc4a5Yw7+dl648qnzPHO1OTzwTW9xVvG0S3clrBSyRKL9XW
Bs6HAYtsGu0I14/G7Vd74t5wdGvLWAtTfHLgrkNbND38TrhNwLdCF9vnXubhI6qOpaP0BFiQfeM7
iHTZm0x4chT2l0FGZzfH6ZLN4hr/z6m2YAy5VXAqx5zgskUCR2ATaRO2CWyfx10zASXrWGauzICC
4sx/XrxqQwfTQZfxs8Ua+n7BmbnSErbU2Mk+eVpyP2FeQ657ahKbESEJDsvUnKC51ycEwid3inag
ju811yXH4t9ogbxNdPe1tpfromj3WcXv5uLOy7o2qCCB+3o3DBWlBxWhkXTXiiTYZBO5Mt497osc
JOtc0d9FPvsc5J9tMY0nt5PZ5t9H268Xc7T2v3+0cdp9rfLv3Z8fbgYf9/vDjTu27urqceQGDkuB
Dw837uyYOtkr6JZ6upAh/yPBq5ygPN2onsaU+YE8RoIXjQSAsvpXSSI4/+jhppYDHx9t4NLVbZxa
MfhjLDCUivJBJen6eWyg2I6XXj/GgjfgXSV3H74pl1//sY+wA/vdavLHi/BVsJjwAHawJ4Z7xNf7
44tQ82EhKcr6Yo2BQPK0HZkhUVhmaV0SehyHdVO5U3a7VKnrXyuo8lMbe2Z26+vOHCZ6MZlHkxuv
5PrYJDD7onxD185mSanloUMDFT6/RDCM80qDtRzstaa67/QaZ3xibJbGu5tSuYf3hS5fgARNO2Pt
2M1RqwHn+NnXfM6+aFEEabg+iFw80ZjBRi5NbmLaknwzP3gJqXhjat/a3oPBmI7rvLE9HqLQNzWu
viuYkPtm4BnUe+ITPr/GkgR8yqfY1Q+wGKmONOojmKLXHCI7Uw0tYnPxGtV4XP2iRqXRJx8ps91y
1J4pPFOjTmsh8Sr3uad/nWR5xD5frA27fBiM+AiT+VM7cTs20+5zVlBPkczjN+nax9luy20j6qsy
mcZ10HjW2kmxq0RVe08Jc8tQhLMznq2rIi7bsJPWbT7yuFmG/kkT1nYZgVQyYhYMKt0bhrUcbwxN
cR61FGVln7yxtTc17aGrPGvE3gW/TnzCQk8RfQm1BCMQOk8GaG75bMC+tvhxrqpeu3NGjTiVmT+M
BWNT4GfPWtPa0JbqQ2B04jrvRrqRtOwoNdRr3WiIXvjxOe6+kVbbBlQqpQV7GHtqZBhQ2xYtA0UY
jQ8zLjaOrQ+4oxu83eI53+qUnPI4t6fes7/5qo8Eu8+bX9BzEqNjrJsueIgb980mp6aTm2WgGEND
in3CNLQ2Jj+s4uJC591XQwgmU9ZdJFfLQ57CCLaHbpv6wJR7SwyhLbtxY2t6EDplf+kD7dMQs8DW
8o4TPGk3hp3cx1MHp8SL+7CMrE1us+YZYkKFFT+/wBf3Js8WkHzQX4Phc0Zcc5XO7psQwYtjZKrW
0rS2DIj0UdK3d1UWeRvGVF2FnCuf2CYTEnMQvDLrJs49jykLmK8xTS+DyPntGRv6SOm2WZEZeM7c
6AFbF2YBmv1sY3S3Q6t/yuL8k0xpypw0xeKLu6vC0946zX/W/JmaUcIVnmVIPKERaEwKdVzINJ3F
xro2+e1XrJcmYvtDQIXoY/PgxCz3IpeWm5od2acMV8nBWSZxca3xoWnMvbbUrwUOVwTHfJVX9Xdg
s+SN6Dfb9J2fbrOR62ubis+23a1zlwyEdB/LYDPt5mQW5wKZINW0u7YXAQhzkTcpczF3wYGWW3aG
1RoceBXK3HFWC7+/sVXvJrYQ3G4L1mFAsTyS1rw3Vafqtay8p8R3XomPN9TnzM3KXoxtQc/XkMwn
wJFftKk/jV1KYW3/HPd0H3Lm3LWlscG/flcZ1gFfxt08ewDS4kcKDp+l71Dlop+CMVY+5MsM22qR
3ZaEEczY+Xs/wLqGVrDOZJdtINuGGcZ4T7Y4YH1CTfVw7XGXaJuM5emyrFFzR5RcPMrC16hK1G7m
rn0sCD1tIlO+IjBj354+a/LV6flNHFxva9mCWGnE5YX4bTRyixP9rGkbfZi9Ry8epl3TtGYoYtQH
x6+7+jqjd7mobO0e+P7GG/DBhbng3FpllV3j33Jom+7mqg39HHiXbxWPWSO3OPGfxjF/lI32rBet
dQs0abnwwGu2bd58aUzjkLTW9ynyb5oFi24exOuy8FNujlC3qa30SawjeRRLAQUCNvZVXCT3aRx/
FSbEtDHr81O7zB6jT4eTHHU8tDt2bCY/xTF5SNNKrANLO/aDfOph2t5TlVlsI00qS3gjkW149pAx
4gyANeeuZV+TbacA+8EV1ryecQtt4hZnsFpTfo4CSXdO5xV73s3+usm7te0Ow34wunEXmS2M+KKa
dxjhknDIma/ijsialqO2j3lg7GU2AHXu7vDaUeFn7ARUJ+JKEbZ0i3CDazzUTvWEuHAf4/M7BHb/
VAVU6tjxEv0fjKGfADTqoetjTlBPXGxdCIM/PnTdvK+hczT9pSIQhowk/AeXz9oBeS/sz//9Ef/j
LUI94EmlYDjFBGF7CInM9h9vEVJWU2fS13fxo02UPTZ0bGmP/38v8ZPLgfE5z8c+Hy81b0wcq6uE
Qqn6/v/hReh9wLPrcsdSt64fvg6izKw+xvFitQ9NdZ40XNu/itgQdv+6OufPPxa+VR9e4qe1VMcm
NMY5Nl5s/76gIwuvF7eQ0vsi5v/jlZRd7sdb14+vpD6TD1e7PBmcwu34YpoZq0VJI6F57IurcdgM
xXEhZvffv3fqE//55ShHAYqrW+COlLvw48th4J2WtjPGS948GR3WOPchTk5z8fT+Mv+yghS/5+9n
jZv2Sxm//nnSUB/126SB7RxmHfQZdq7/GSd+k9Eg+6H7O5THuLT5/oDvs7Aw4TbHxI6Sxi6Ic+K3
jaz1C/Yk5Qfln3WUyeifrQDUKfDHb4hDvy//czAu0tVkW8bP/TWch3M6enp0RcktBIglz4LQ6IPo
pE2Nfio9ia1Q0+f+xRbJETzvM+8Uark98c3CHbDWRnScvZvkiFyNRZWqXgMim0Qq4hB/dvUYt4M7
Y/5j/F6VyQy5Dt4HrP/aar+gzKSvXa9H7dYsnWTt4LCjPAIpnRUD+4BUNHS8S+rr8tYetk0rKAKd
PS2A6MA+VgFKVllag6URQNPg3rdvmh9jTsJrsuJ+PawAyn+PwH7gp8fxqFki2OZwQlc0WsyrpI2P
eY+Wv1Qn6eiEycZbw1rOyRDsI0s70/Z+MOLkMKUA0BwV44LL7lCfMfRrk4cJCr6702vtIoZG3NWR
f+rqRIT0QpbsAaRxLiUPZpoUs83s4pptsXWuvaa/mTp5o2UMF2OMN2u2GYcqUmtYKlws4W6n1WFq
ze1bZnX3aa7fs0cqHB5tXXnRGpqmLTvbFgTGIRkkT1U6hB4VCBFZsqvBzmmuq5I3TzI4mjVVjybZ
PQiu62C2CjQMZ9zWvrrWNYu5bttiVzZ8uXXuEnzigIhotlqbBh0FQzxG+7QW9Eg7cttNGqSQUZWu
jKHU53ZlBeRpapO+q5TyIDoTB5camrmv7U8yMNYesfEVgA5/q+cxY0kNTqNf2hVibQ0GrWf8MrQA
g3BJiCuUcyt2H96KfzHh/vT4UxQ9leynzot6I0rZlEPvw0kr9GTUs0CKa1NP6q1FI8aXZOb7NM5Z
mfx6zP57/ukII39//tG20v3F8ac+6Lfjjy2CcqNTkoblwzR/QKWZ/BGR1oD/I8R8RKXpv6DAsPhk
AaoCtB83oMEvqp0NXcRx3q0q/2gD+m6U/+H4Y4tgYK3H92LCk7fV5/fxtwTql6T2JrFu5GTr4TIN
B6LzzdoQFoO+22yxl/UEW+fPHsL1Wsb2t9byzx2pr7Wjmi3EBEW8a5NTN0LoKfWSrYPervyl7teT
HK6nlmUAQfIqrKr+6xyUzwnzFHUrd5ktduXcHQkA3DU16VvRzKBqavibrWGeS5aRq1jzPsksqMI8
KDo6J6JPSyU+OxTqkIRcptCdihsntm6YGTdBUx29vDlkjASHZQA0SDTGZ1yadsSINqZfv9l1cteP
sXMsKcys5/arj98+kMvjBJh+lZl4yy22eThJi3KtnJD6hAnMq5PH0ehfsonRHmP73uwr3vnSA72c
WFA+SULi/7Sus6I55hndziMHcTMkLBO1iixj7t+kRUtmOG5uhDOQdsfhse1T8rhegSc14yAOAz2O
rqWLzYMwKMN2Yy9vWDiz68GG4ZLyza2jIrk1qaFYJbJ9TUC5XwlOaCfQiOeZ9bxLSunfyHTCRO+N
/NT6xF61OAXDDImVahre9mhI7i4dUEfclhYPe/LiWz22jN1SYxFvcM9hx7c4Qkfu/2mBJV6fc7G3
rAlbXZqaO5GoOrmFcjR3oryEAOK+AFaDPDFDarZZY9usGLb2aOUbdrtgUSur2JSWOIOjPy2duKG5
/NDNMaCjwn+LFuGumAltunVTaz338DmMyJt3mWr/1UWCAGUb88Zrm2DXCZBsYmr7XWBSIVLELf1w
lO/cQXP2d32tCE6AmvYUhEbrQXnxpWVpt+y+8a0sfKXNBNAhJTqy9WO6r8U8QtuAh7PRqPShoyNL
jw5h1l1sJg+zKS99r5ebBLlhVXU1qivjW5q41EiRBMBVQkgy5vaAVUd9i1KzfBmlIz6V9BetZBKU
+7mn89GccO2wgjFuIPHFq6ReWF/xfV9Zrdbv/ZGxNRltDMZen36HYEtuQHgRWkyh7fWOGmQHylJU
kn+lyWRVBIhlNF4hhNk8mjQx+usWPkPoDsKF0DPdwi/jQUUaQLKESsPczK9pQOv2lOS8deXytSNH
se1qo1/lQd5epRSehNbk0iTcuAd3Htk4aN6w86PSvjO1/jENqk5b613PGiAxJwyRaV9/G/msvAXu
YZSInK1Z0oBtmh8MbE1sjWLYd0NwxEDtbsZxNlbB0NO6QOCqpjOPxVi8SctSO2o260LL+jQQvA3p
e3ggG3f0RHnBYhlqmkeF8kvkmae+cocnAuuvo9udJ1uDLwjme+2P/XjuabvaB0EHiriFqB5n+tnk
1ZI6OQ2D/dYQNAyNJb/SR91YDYH3uPj4mFKx+KtOFt8lNwVYNcWhEvMt98QzG0/K6JLBUooAa4wU
uMo0JM56mquJyd1j3cJfLyW0eU9azhaNhUKLprjptfg+n6IXveqfa5vjwddr+myz9pSOxpcpc10i
/WiSg4TjRFCIzgmqhTMb4U1IlJbFwLMhhyt2kJ97l0C9p9mXYMIoXRVeeeAOzd/s0Mn6DNt63VUn
IiF7emTKcIC6IvSquUkDSILIxbBkp2DdTe2rRPNaOQNiVGK6z9Q8FM6mKic83923yvYOZe88UR/j
HFKCQqJdvlJ6R7VbNe35ovNtYjKbF8aC4uVdJ4JTJqgwNLQj0D6tWg2VgbDt7lHsWXWlFASm423Z
F+fclCgjaf618wMIZtY1/redRld2TKUbP1P8gQb/7XxJ/DQNZdq/ydRjTBu7zVDNh06tN3u1uraz
W2q4NJ4FPRa2+ZR0+W3BZtRIk4ecTWnilntPrU57dqh52oW9yeaxjKS3Ktizcvs9p6jFupxWkj0s
o8ort695xXMMEzvwFOlDLMgQ5NzyTldu9/crwb93I5Xp+Pu7UciZ0n75H6aBv6LJqo/9cEVy2DQx
n/+eV/ltQsRoAfGcKe+Pe9B/dlEWs6O6UQXYt0iX/GC08H7hToPF1XR/ZZP8o12UqW5vP12RApZd
gboncRNj7PzxihQU3hKU4A1u8iGl/zFsIRAdCY/Zx5LbCOsptyCcHPMGnrSzX1JfKpwC3wNAyaTU
cFp04mGKu1PmT/eDPp3nCFRHnTDq9KNPx1e6UJ3YPY4FuO/COjgpWCB6EVaNKl+YJtbIbBkmGjHS
JQeRzkMI6wc2fw8KZWtZb5Yfd+H4XsYChz2kR8rctJnWYFmAPSmEjwOA9zAr/OfZxdEvc3vecEwU
a72tH2wXDoPdawiu9DBY9aLDp+vQ/pohbMvoMwLiujMZYVtCAiD0vhK6hZ/dFGvH8L7BDkhRdtMn
twFziiv7YLGn6BueYpQRPrlk+XyvXsJotLYJu3E4t8XedAdnPUCekxMFQjO+Jjr8pq9zFX0tuulG
VzYv9MrnVA/SsLCzHQLYgWdnuTUmlaoZOHf8uP4eE5RZT0b5VGMxQzXnyI767tWNzOVaZvOXtHai
E8c5bagORi2eShvoecadydVtbdOlGaYOy/MKE8NuHLOT4TTDsx8QQ+f4a7stna7hYnvpxo68akvu
CO2Zas2Nj6sYHxo8w94s5dWs+xM2vqHd+qBE1lGuzWHHrX7Vwi/j1kTf56yn0abUZXpKdQzcvrJy
m8rUDUYmWVc6HXmZzPUrIBtUoSgbeNUCfOBZ4z4NsijuZGs0l0S5V4nYTOdGOVoH5W2lww6bq2bb
4kzOEfOrhg22b5fcXC2FHn2d/FTDL+xozaE09Vss2sYmScb6kz7zjd9F+P5eNGBRbzZU402hCofG
bu43cEXDuTDxiYu6x4UOo1C2lCPSWNSx6Z9oMGpAnEsajfA7BqHW9NetKjuKVO0RmXwiSaoKyVOl
SEQGr+2OmqSm0CEaquIkoLt0f8arTJUqlapeyVVFS4udGSwpWPh4qoapem9kMtN7zypVRRNlTZWq
beJ2ODwGNIgeXJxeJGGpd9J8ip4kjU+Tqn6iYHI9qTKofw/zd1OB9V9NBReKYr7IPwt96qN+P8ax
AASBhdZO+iIgPPTBUkBYkTNU1VRjMyJQ8YelQOeAV0er7alnwLvb4Dehj3IPVa7BCa+AFqod7R8k
EvEP/3yMEwpgAOezQDr0LfsnPcTm/CgtLJw3Tk6sap8OBHkbv8muBJs8e5G3WIg+IyKtzKbLd2Mc
fIaKT0si3DMHIloQ5ez3YKS1iFwbq8J7hsklAJHdR3HoQlWzoKst/d4R2nMFcC2KOfHiG0OR2KoU
JpvrzAE2dKrBMoz1KHLL99wGVTr3RApssG4kvPONb2kd41P3vFSEiUzFgHOGS6qocI3iwyE0nBZF
jMP8c2Wj+xBGzx9LrWcZ1uqvKZi5cTG/+4o7VykCXWtO94Vi0mWT/TzO2ud2ATzHOg1aEjTeYQmu
S3eeT1y07hBDuewq2t0E9g5xib8YyTfkKioOFvmtHZj0FCuPqx6ER8XPoyKXJw1IPT17cuYL2OwF
6BAn69juXcAQ3PW6dj2+E/mcdzpfCQy3W9fWPB7ad36f8c7yS6e22CflADNPZYr1dG5gcYHV6FTi
GI10hP2rUsimn285vbKDZeKIBbaOTWxWyeXkPcO85O3toHLNvUo41yrrbMoIyVPlnxOVhC5UJrpo
wKGqlPTYZ+zKVXIaVHG26VSaGpARjb0qYQ1gb77ld9NeCZW/FgQdE5XIDlQ2mzqC9CpSee0x6CXp
Djb9k0pzlzbDzroxcWVpiYV9KuvfTJX/bpKmDxuVCTcIhw+QfAiHBBgR1bRqNIiCqUqT47J55Xbt
AI+k/LlUmfOW8DmPcazljsgvvhVnG+M9o67NNKEYeJttlWDPBunsmMZegdMHZOxRfRuVePdU9p3v
3MKzmzy8D7QamDUZ+YgCOn5g3FNK1IaV9R6mp3Ke2iqVsK+pQOcJySEtVYifFWV7GlUmPx5J5wdJ
AncJv9Cu7twczDuKQySdtxSj0Mom4G9otrVDLiX0r6v8vwjqZNX6vv1VJ6RBY1ShSr25LcRFi+ZR
2wM4ZQUUEIotIMoeyoDiDbTC1PfjkpXdJnkHEkyKTRBAFxBvOcvPPawR85aa1AZrHXU2XbTo7cmq
07DVpwfQTdg89ZzAJ0DFbZU3j7OGu0RfIpVFGquNpGTEGeQztN/PeQVCPeIZvUmKhSbeAiSm0LGe
eLN4NMoK46tMX+ZgwYCXxMl57n1qtfDL1Et/ixPdXzkulc5V6TUHDCKvST68oPFvaRBPwinQ3kbR
SYwZ6bOliWNu0xaO339nSRp9MMOqQyS44ltx6LGAV7xPCdoKcqf+g+47l8ZIjrgVPSbg6trT7W+m
G3weco0cZjtduqX1D37b7qtF3ssl+ET3X7TRu4LNb6/mTOSKNErnnQU/KxQlnh+/KE8jEnRLYU6s
t0SD4qiG3W01JwfS90TXMKwKcw9J65h5UFis8UqbYHHRieDzTkkZtvhlU43hJYjuIP0Kha18cbNO
7GOL+iDP7q3VpCQTdFJnZbsQwW2cqoF0OLN0/Dmu1Vwglt27SnwRSoaJSwSZSUkzmRJpPCXXzFrn
bmsl4UTVGN8WStaRvF1u37ELixJ9WvWinRKCRJQGO13W6V2uZCKmPHrhlXQklYikOVz5aiUsLUpi
Eu9ik5KdJiVARUqKSpUoFSh5ym2dN/Ylyzqzl8OMggVe9gSL5+z0SG1QQ82dpeQuSwlfmZLAEjbf
u1zJYrYSyEwllYkaE7MSzyIlo5lKUPPhiu0TJbKZSm7LlfDGJimHpsEppTeRwU6fr9RRUl2iRLte
yXeaIE4ilKTXKHEP5w1uGCX4/XvVeb/q6Gjcfz+3rl/z/7nmdv9Xuj4f+Pttx/qF+SZg8/Sf9tYP
tx0biR72ASrcf4oUfzdQovjrvElhLJBgIm7KMvI/tx2INoRPPRoT2W3+47Um0/QPIyv4B4cFgu0q
rhfo/J9G1i7qhcyX0sQbN+31LD17cRZaw7z58J25/Lol/WiixJrxwwu9eywCNZ0bFgwl0/F+eiEN
zziqZjZeHAcHdBfrvr1xlv5YpOCyKjNmdzp6aDVddRPM/bnJ6k+e2cKwl90UjoWg84CY1GlonWDN
uKCH1kx0ETqWKoFsn0ZZk2DyE0zySo5PZH5f84Is9vJLpadYij3w9H5jNmtfGxhfedMi9fqn5n/Z
O6/lyI10677K/wKYgE0At2VQhlVFb28QZJMN700CePqzsnV6piUd/RO618VETEhiFFlVyPzM3nsV
0xpVJ0GEAKo3viMYYWclVssxMG2nxxBLW9tlZCy79rOG6QvRC1tVw3qJbWKWx8m5J5noTiumi6Y5
lz7Rx5UuGW+xbjvA077IsICF5RuPyKTzlR6N48ZUIuxh7G/BcgfSHp59r/0yI/ctKubXdiFdIRtc
FP5zcuO04ZVwiyQgd20v8CLturjlE2rbx0pE+8Szo3VOPK7u2x8lAdTBiJWLDglsY15NNTeCminb
FR1xv7wZRaEa1fTa9uhBZ645DVdqI7K3wTUe2476cyqGVWXMd2xfdwxO9pGINBYXXcEvCtECADWr
DdO512ZAJ0XfeGvXf/P7YquTnTZQtay6wQbTwFCScBGXzy/dZe7w3ZthnejCORPWg8S8ZG+CanZt
wOAyJcD2GWeIjA3Ec0Z+Ax89DWDN7JbCPkcRNVlv2Dt/5L2NJWcay9lxUzf+G9OWPRumOy7ieWMt
3VMi2LlHsLJXVp/fd3I4gI0bN62lf9PzGWqBnJ9y4BS7yVquzYnoni5OR7De7aeRm5+mzDFgQOup
cv9ALWfgxpA7Fky3ReZt8JqKk2st0E/y8tuS1i+xi8muENUDPggYD42b7eVg7diq4DoNA+bHULv5
imFNtWW8Naa4eS/TKmqDxdP6mV0523hDn7KEytQka25vA+bY6K4MDE+qYXE7HfOc4GRzNtZ6aBxa
2/qU8E4SxwjGpWoJmMzq8SlzLDXSltAy2Ocre8NkJJssNQ8WCBqD7VCvs03zmnfcPHdGpn2hvgIn
g0K/4tvIEmNk9NT1lB1yU8nMOGiFwzpGjicPXs9GCdKcJGN+3I0JA/pIvorU7bZTVJ+jRA/XHZZx
8lpWsd2d6hTGaN+BPOpflpCSZPLT9ZjqN2lbnTPBI2uV2Q2eAjIntMOSUwtSHsXbZZrZE47Jp5DE
+6UypRoYjLu4F+gf+68Mnw+rcUb6on6R7Zb43ANEk6us1/azcClA9Decw9maSh6STv6W2/ej7Fiu
DMca01yu4TNBM2wGutqd2f0qXqyttOw90JOgNWIWWUs97iw37QMdFyVQVvuttI0VcDi5CbUWZI+s
Sfkor+dKvrZVyppntp/6XvfOSBbs5kFNgiLPJnK9+qEt/S/H6O9bU3WKcl0QvsM5hFnW+KPevSPG
3A5nMd9IOHQrexcep/vqTKT5Snsvn6mBDozSV+EVXpRhk+6s/6LJ+rNIipcH44ULVsUSOH/ojNtw
cEZNDMvN6L7X4cHX+5U/vWnVf4NY/l+vY+ro2NAjEEOp/0H75ffcWck0LjdGcooZF+b5lx8d5ND9
Vrn8pZrt97ffb2+nmhmwQ9eR/SkP3q877YbAGGcwYv1GOFetAGCLWvm/iQt/jAv+oxv63xf55Y/5
w4sMsa53JmjbmzHonsjk3Y57/dPbqNDjc8F3bHVHFM6qCMz948Xb5KvLeE6Cp24bbm/To1ztmWOe
+g3/4aYK+N/26b98p/4s6TNN24TORkIUXsQfkMVf5B/5QEpEOevGDVv0S3hLuMnZeKYFlGttPWzm
1fHV2E3rSxPIveOsiytsbresFwNwxOsfv8o/CxCT9/yvC8nL1/j++f7nmZn6qX9XkczMGIcRLWgq
a6iSgPx79WHAxFNpXACZmY4pYcbP1QeDMapEzxU410kSUead/8zMcN9gxmIIim8GqejfGZlZv/8O
/UgrISqWCZwKaITap/79L9+hcEDVALdjvk7KG2vGpoj6QJIQ7j9Oi8k4ZmY+7JvlyVvyOzT5HxQP
2trVFsLVyQehI+z0ldv7JGv71+hjKlKexQfZgOd88J+WpXm0JAlOQxQAs2W45ruvyKRq8pQEK1u5
7HSzOFWMjtZkjaJ0W6yL1KHx5EJXwc3Zk4jEEliVwEAfNmvSPMipNp2XLHefonn5IKSwXIewj2Qz
PGZJf8MM5ZJ4tFW6j86VWV5VTTwcI8AuORJcqnVXhgepYypHXGkVf/PCkIwdrTccBi8OWA+FSO3K
oIy154HhAkfayjH9S+5FwWLHyaZ0Wd2HJaTchY1+mjS45hVyCWUZUsjPyk+uSXUX5Bg2M0a8YpOA
Ml0bdbdeECesnNRCuI1HFyKIRtqt5rwWS2ZidQ/d7ZTo+dGtEn/TSECFGvt4She1BR83DBIdFG50
89JfGOIM92Imo3lpnSecTE22jpLWvvdJhuxZO4H6zFYkCXTLoyElg4DRcxrkh0Qwqfz7HiLH9Bue
g8wvexNWzLoAM508MW6zbt7p+YQYB7wHZG4UGVG0m3TQH66K2A2hgdguWJACPkidOudcAUNGylRm
+/FKdHxxYqgiPTOCJP9qYY00lNxQGjty3IerqXWREMIlqUxdA0pB22y449lXYbDZbF2xe3mebXEs
FN6kgHPSsLZ5tIvuLirsO+MHCUUeBnPaMblAwOeE4AmTcI8vtlpHjXU1K6AKWA73MGsEpy3QVrSx
9VYC/gpYmp2eEAhDbvjKg9Cy+Mxm9aqGdR6VG39kDEHe3C5JUCCRCHFTmmFgQXzBHcSIrh2eljx/
zmHCVJaaD6bNC4kDpzLMHmfoMQy5biaFk5l6b5/Bl+lahQ2r4j16TwJabEozWDQFHte1CZ1mZJcP
Au69Z8SHi+3Kh2JjQLOBL9lvQksSAqNQN3mbPwx2+xh3QHDqwe741bKrDD5OvRhkQbivjQLnEI1w
bmv3biH/RrfCZ0MhdhikrguYOw7sHTOvApcqyLKd66nWfZ6xxTylCtjTQO5ZsvHCPDrIys9MIQPH
Pt12MtxVidSxX9ssbhgAJ8KB/BfyTxis8trdCxkW0zoU5jtCoRKpf9avdcL8gFOaxBPND8TtVsx6
8LNarftQltEVYUavixefSRi/tfBUGHpWrvwGKavCUvoALQWztXEo+AKGDznQxm2Yml9Oirk9GY0H
vsYvbk83ZoQVvZu47Xzr01/mdptqhAyHkuFmZ+DTAs+8icPSQXQaAzHsW4PF45ST2OHfZRnnCoLd
5hCOsb4tiCgKSuF/TGH/nuXNTWjQx4bghDedpFIuEAVt29S5qr3Ovlksb6eRV1HeEvaT3tel8S2c
LZI4swUJW3WylujDKI0jMcYzAipf2/aZeYnRq6uEtC5AN1oGftZ/VQhm0EHEGbMtbEm0Zj7GNp93
wHfx5Ti4rkK7PYHmgutpEIaEsyXu71oaUhpWgrUX+0JxfVUV/JVJ1mzqnuWls2j2Zo6iTRoXw5q4
lc0/V/6P2ZFJbfzXV/75vU3q6v8KllA/9/PSh1pv6ZCylITdVVX/L5e+/i9cCpanBkDc4hS2P+98
F549eZ7uL4yWn3e+C1cXXZvPbs1mx0Wl8HcufVU9/G52xCv4iIdJxrFIljCNP3QDBOJlpruY8XWh
L3Z4jkmLepsMHeSd0/JwktEtneMyNOJNxDZLHl8rce3LSaN1WtzuyY/t6t73E2dZp9Ygq8Aq3f65
swiEGIgnd0nYS/EWJdoThCOayGixEamZ2dqcxI3nEbcIm2AYMWrks2InvqO5QK813YnOYykjdNif
RXJtzi6ezkxspxGPrNYeY5ESdNOREIHkHhipPr9nTUsupWRzNCCyXnVsSRDreTlpZF6Ql+yotRJ1
lTP4BzuiDRxRfNeFuLNH565g5rDJLPdzDqfL4rURp7/xDmf6vrbMt9iji63YSQVliQyPCOZl5yU+
wrGxStbCdu5S4Z7IxHgxC3J2RJmfsAJeQQLlLA1JCrM7l8AZaCkr0s+9db1kd1wsj6g+67PVjhXM
GTrUViUNtBhpodWMRLPlJB30gIWpUKL8VLKkWtz6xRJoNTqDCdGgt19L187bzFfz5W7Y5wxqdGIJ
jYyVm+umAYuPNQZGAgxMgt4rBshxynvAsFmuI+qAfVLy/2zQFKvSr55K2KWuj+kZjJZX59+MLH4Q
FWqAvk/tU+iEh6TWbpMaIODouDEZFVW4igZxiizXIobFvouFeLBbIncix/0UVXlF3v9dPXuEfOge
CBpKplU9Kg5LNF0BS1/3ukQyUJW7PNGmlWkPCAa51oemfEoFjF0BAA0lSLIVdX9fOujxNcnGIta9
gFHNeBk8hmPu3Hlcefah5xh/8gpn4gAdbpdxpMqCP1Dielw1mo5YZx4e2zn9CEfJLC5uB0oRPSBr
4lmY3ovLctdsjXdST5IVyrjVoI93INuCJlyu8yyBNWIGfnjDl7UiYWk45X52s8ziLYE5E5TYCYN2
gmpic5jjDZmvesHXznDSU2WSl4osGPWC96y5MfM4RyZrA0X1WmuV3TS7OHVxbfntFS72m7HzQESO
LDsj1w40q3lDB7mJHfOxQE9JKIR7rEdxjZvFYpQyXGl+GERjUxFc2z14qfshtOnciuHLDIuHrncP
hitO6chMSI9dgSbTZylV8TmQ4/yZG5JHbInclTflw6YuxTV/vFj1Mn5pWtQ2hl5cm6Fx0zh2QEjb
h6aRfcEAd8VVxTVlFTfKVHYqrfjKLfryGblTC+YEWYqmA77UMAKuHRa2q5DOY+0WxTup2Gxf5/zW
6MKXXKvmtUVkyYqJzt73llNe9ufByMjlYIstivfeMo5ABdeeNG9Tdt156KP57K+R0exshj8AwIHk
hOTBONBHS5v7FOMDQbvIyjlogc3GR3/oravEaMEOYWTujtNoMHhbSrTFpsXYmKppb6Te81CUIIyq
giyYJkk7kMmwWIuO3z4qq2pTT7Z5M832UUONfIl5sNZ85g7+ORbpztjy4fTu9Lw0ZXQHOiG/Su3U
2fW8BVuZa/necKFZ17XhoidmU62vRtHH+15jPciGkZeeyfoKtBR0zD/X9I9r2ubm/Otr+j7pMqBF
w597c/VzP69pnBu2LTCPOtzTrDZ+7c0tFIY+i5zfiJoqGup/72lbbXhYhKj5FnJBerp/9+ZEZODa
IHybW/VHrt3fwqLx4f/xnrZRBoD1VGskwa+i7vFfmnNu027IWlHdTK0OzHa0JUtom+h2W+5jl2Ns
nFUuNLLnay57/UrPSflZicTNDjkoyJeEc+HMAglZrGU19+kg7L0zDd1FZmH9WfdhsXNRPJ7i3J3Z
zyN0X9e+xuFSAFy/6RD3Xzdpar9quugDI4Qut2bjSahjGZak69Q+GpT4bp5y5zoyDO1IiC+Tfw+x
ZO/NDlhCt72XpjOc+y6GNjUoJoI7aBCjnLl6sgamkMRUm18V+fsvjp6X+8jpwBvWYfc+krG15cCn
LWpJX3JTSapCPNa3Mi23+ZD0QZRE9WaUhj1ex1ppj98q5OX2lVGGyzyRV5oNO2PpB+3Ljvw0vrD1
IU2oIa+4vXZj0OxuxFT/Pib7l5Z66JC4APx15YVQt0qw77HjyUZIID0XetNYS23jQOwmllUreZiT
gYjjdDSbgtWuH/hNOL0KqSJTNdepkGaLMohwEhznQcz3WGeWd8txaDVLM9GRVtAoQ2jyd2E9Rh+I
ppK1Xi7Le9jFy5dIppdWa4IySo6aW3WbwoAfLp223hMdEhkrzxjwT8yeBl64n0+ZWhg5vc+yayoq
LP6JjJKgw7gOHGdk3IIj/RmVY35A6vloZU0MA6LBHaiuYcdre2Q8nbj34ro49Bqzn1pvxGXyGx3m
gjrxKRCrh7DTi68OJtSH5krtaOU9tzrunNQztE3b4+wfNa2bOPDIVCCyIam/u1pFy1+HJbIjrzsg
NhBvEY3MZvHJK5lAqJ9cTspzpwHMwRRSAd1z51OXLdXrMkzaFV9etfIr5TV5iOGLtxTysSTcaot4
PbnXkqm+iUcapBKrHIWGbY/UgB1uQ9Kn4n7bTU63iVpozOuIMmJvjqCOBaVHbh3dSVq3s2g99vCV
ML7qql6CJtE7DEqdugY955+z2Pht3f7/nZJu8/+3qVoYlX8+jNV+4OdhTM/EvBMKpGWzX2S0+UvP
ZOAiJsvHt0xhoCT8z2Fs+f9S81MMkCZAYtbx/KufTZP3L7YuNjJxqINEdep/q2niOvjjYYxLmYMf
4gxp0UjWeaVfD+MmCiFbGSOMSrt6kgpSN6KQ0RAIrNy0a2+0RaHsWCm+ODbp9b6TU8u5BAZ4SIxQ
rY4lecXY37KFTZYOIy+DRrhpyU9b1xAdGC7iGCuShYSKFmdbbw/Vtgl9uhskM6cUCt+gcHyIr2P0
4u6jT44Ju7cyEAu2Xc6cIxuNaN/C9euT6TmURICNaX3fVioiXUv8vaFH3zgnHyb0hdihLpUec3so
cKDepkYwO0ySOOZOuUx26OyWdQVvMJ3z17A3j70A0BJLEA5jlAeE2JBDI0kyQfjyIdCi73uFMmwn
4kX9avoSlfhyPT/d4JKCewAB0Z+sl9KsyiOp/9UKZ+u7Oca3scIm8mt+88viOnMw1FijuwZaU1VP
E7FsW7ZNu4whz86pxTumlyCqMIeE1NKLU3yRerqdELUbVV7vwPx+uq28kyKL9gjLPXLrHPRykiST
NNGYZWoTRz/3WxKZT0nokaQdwgU1jYrLj/TnspZY1cpsl4/yYIn+rTBkvmqsvtsNKPUX7l2wFvMT
9ADp3Uwd6ui6n5gC5iwO/VOs1d8XpS0MCXLadimKymrCOGQv+bQrkoQJa5L6h7qZ41srMx+xtyCt
m4k3NJl3LVFmvS46ZyrBKf7wMIg8upANWB8X8k18TGrZnhCPrUz1O6NCOGhBhliVCZ1jpidPiXRq
nFqDt0Jdmm5AXxBeJ+pp41Q9S0atuolSiPKiI+lO6A+uhkNBpoBAB+QjuTjaQ8lbjGMgTKfn2kk+
Xas4hQiR1HgSeVgLXMLVhnfGsDOBdNarZuZviBCY3UbubvbtCsNDujf16J5gr26DEzrQTKskFdcL
5jLbMP4ERpqdROiejQGSkTfP98VSfgd67W3HAZ0k8llMT1nkrABWf0M++UKyQDDH010e96d51B4c
LX7rWSoipWB2ydCrmdoLk87HqUyvZklyP633U1SQLRi34UM4MTNLeYdqM7IDq2a7n3mIYU37NXTl
I1kcyyqPwBNMGr2Lm+gfne3fyTa9RDWG/VBhXN3xmhrjzpr5W4owuW074yA8sbY97xgRJz4IeVVr
zkc0909K1MFFg6HTuY6TZW+1BdpJekNG6i8OIsJdGmkQxaGTrTnm2AE0qF995ToLpxGbRdK+tF1x
tPzxnFnmIdaXp6FEvkYarrVuLHmoWydZ84XFK6rld6jYPmqrwH2V5fjOhbeDn03SU0IWPHSJbstg
pQjITtovNum6aV2kh9Kt11MHYtNEXqZOXE4po9pm9nhT0fmu0EbrwTDOt4xXGL8QzqjzFnAm3Vqz
OKeD/80BNoGqRjyawsao36Rra8AASMotRgd1xLXxQpqTfm/6ZZC7MS2OSvbucO+SIp3vi5F9SN4z
Uyl6wSJgeh6W6N7Q7Q+3wOQVmd6ZVKpwF0WaFqByuqNyblHCZcZ6Nt0Pk/p2a5Q5ikxRb2dLW1ZF
YqLe9eYgw2TW9kt4nzbsPJLWeCiTEbIMcaTf6liDJzOO26rjjEiSZxmP160f7wvH+74gFNj2xDzj
3tRx0zY1rv/OIYcBdVHxXGBTjs6LifCX7r7a4mi6onB68BUzs1X0zGWp3qol8bcU6NaqB7HJQos0
krH7IO2gWS9De2Mn+SVm9MXG7W0C02koXqdVtsd8MbdZBPp76J1b8Jznwdfw2ijaZwqByQP/qRNm
x3wfIijMDh29w/BgAQsl2f+YAw9NRybsGRtFfpvlhUrw3DXzU+HI21qmN3wfeBNAkRYgSReH8XCv
fMAjVIBBcUsnnzGLNV8M0R11wKa2Pj2WJgYk27kRgE9r3y7x4/BUKyaqmwt6aAdOKpHUJj5L2Kml
bvZkY4mNTOp9CV61VZxVt+g4dgS6WWHNK0fRWEGywmWt08OiSK1aJg9lqtitaE9XeMXNAw7PZOMr
xmulaK+Z3hJiqwiw0YSYSjFh/+mQfxtkM3X+6w75Jn//9tX+uSQz+amfJZmpdteI5YRAMUK/xYL6
l901jg0W11RWjvPDm/dzjq0IVMJS4kcfnZWuSID/Kclcw2C2psQw4kfowd+ZY/8A8/1HoPFjeQ2d
xTPZhZOZRF32+5JsnOVo97Yrr/sJeAH103M1IoBTzzhxX9eF0aTfyA4p0fpYD1ZvsQW1tPDec+V3
LdYDU6D5X9T5EXnNlpkVBYOLJz1pw49WnTZTjsN3HMo7288jZqxVuJNjePbUKRXX7sdgJfdiXJ5j
dY6Z6kQza3s9VXGxJ1L9aKlTr1DnH0zMAL/WPa+1kT2+7FYO8cZUp2bqDekatOa5z/xHhhU8BVn0
mXbeGS3SrW5P1zHiMkLWa7VJuzURpQR4X0bCtMabySStDT8OHCR1mhcK1MTKjb372moGkmrUqS9r
Y2+oe8BXNwJLcm87zLW1tbJwJ9S9gX2fNJjafmj9nlPc3wyWtR1qNvvMARPSD4meNlJ73aubKOJK
cvxPZsDwljlluK3csX8Z9IXhQYoDF7EhI9SZRb0Yh3jlTPPXqFPjGW7gWpTDvh4/RQbpNb6nrXOP
KpnRMdvyZZ+a7rVM3IurbtGqfQIV+jEM85VbZTstWzZKldhw+w5hdmuq6zhyxJ3HOxQmeO21qg1k
nl9abnDBTZ5NC2hGxjQEDHPN+9z3Bfd+yv1vqkKgH0s7qAeDfo8qgRngg5ZTNohFfyK7GAQQFcVC
ZVFTYdRUGpEqOTpqD8rMt4lapLaG00Rt0vsi0KlVBmqW3E+RC6gypq2ZrC6qtDGJp4b1fa+roqex
/TMf00lSDRH2swnt70YNp0NVSpKSqVa1k2kr1hEZlylFqU55taSus2rL6s0qBXRZKrBynt7tQfL9
UtUZiZogS/rqBGn2M+Qb6bcWgZFmpch/RwYQcA36z1EjQtCMrQeHIjAi02bFNv/G0PGCGtk4bYgk
4TLT5nSjqTpytihQdD97SnvepAW1wsph/7yyC/OObmDr18V+/lGadqpKxdQRXcjNIGkD0tPB4pl7
LVD6VqrAjSOicpbefqxU8TvL1j+EGQmBldtNO3sMUZgO0sZVaqTbWZXQCbW0k0pIJ/BCCMgO4zCd
t31BbvPj+EPc4IyTh+wgwqFzT7wlUgEtsp4SO1W3M22KD9clRC4xkVK58ZWAAgzNxi393VxLtBXU
X5tetvkxqW13W4zgBmppvVajk24RVkFMiflKl7IXq3hqcTs51lpLik3k+dO9h0lhVcXx9RQvnypU
KGkib5MgBtERhQxZgTpkMjCECi8GPhtRBrmXyQaAiaRk0b3nBIkJ4Y8EOSM6EX1/SBChtPq8yRGl
5MkQ1EqIsCBXgYpCohQCFjsuo0uOpCWzxT3vrrHDcHHpUgQHiF98RDCtZRPLFMoP8lifqopYRd0l
qRXhTJoTJ9FA3gnYrDw5TLbgEeAYYeuIzhnlTak0OFmcn3REOfxTzPtJyvSod15rpdwxG23bWtn3
GUlPnbpPdZOcSaz6aLulWuuFey0QAYmButRuYmtloV9ZzX2kKenrByXFnYeIiA8PNVG6SOoj97EY
2XctudWvHenF28aLNkItrdEqYWFij131PEwzj57LhruLzUOnVt4Ju++UHfjALhxt4BV+4FOmluQM
0fpVrtrecCx8eB50A4MLf8Mm24B4wP5Lixcsv36TBv3g03rVcKbVYn5UK3qTXf0She/aXJxidvja
zDKfzJNvmlrvz9i0162U+7qjFCpmP9u4UfONRBy07C0QDrbvj6SzXsV1/S1ZEFJFpl48TGW710oT
RfxAKCZOtVXuhgH6FETWIblRQh7coob6KgZyTLkd6v6bb0pcL0XOd60rgP6tcj1i+dnqyrlH0lS5
JWetC7qw7/w3s2DPc/6nIvpREakC4a8rortk/Gq75PPrz0WR+sGfRZEC3rA5N4E2MpRXC/yfNRE5
eNjfTUR0RM39Vi79rIlscqDQaZJVKXzIN78Pu2PW5HnMqMjJ+zHB+hs1kf/HKRXTM4EDlnRuIbCH
CrVS+GVlEJsqxmCwzHNbNdCpThpWdZX2C5Cm0De+nWbX/mBaGaSGkDokUXeOMc+Gy9PKPsvDQnc9
VI2GZQ8ioOOUMPQybd5IsyuvULEU91y88nqY7PpEnnX1rY96eTQLmd0T68sas0r9ct1P7ldoJva+
siEoGGnrQMJt+uqN6gXRkTby+LSyZmWa7zLTkJslL2EIE6/2XbOSBfu+SIa1H5fMZGZirnXPJ1VN
EARspib3OSRJ5FnZTVEM4YPJqPduoB2O7/WUhINul7uKAb/UMWI1MkA8DA64SCISom063AFNElsd
ApfxncGUJ0J8vG1bZPv6qmrBzlONQaAXNCnbwkma9FFLmTUxSc/g1U8mdnzGIYpj7yikfQbT52Ar
zP1C2btxF3bS9Xz0+pqMLRX5p4+t71yNNWmA4Y9gwEJlBMI5JZVGa1R04JyUlrWbCYI+zDF186Za
7LvF6EaXiTUJhBVRhH2ax8dahNZydtKmP3iNl4x3C8P3YG6dkjDymC+mPBd+Ppfa7p8T4bceiefn
r0+EMwEnX+3X/OcDweTnfh4IdEk4wXi6fcLceIJxfP08EUzjX2p/R6rrbx0Ux8jPE0H8yyf+zXV5
YJXv/d8tkgN3hqUfth90Psos8HekPjjsed5/1yKBSlTwLc/CDq9Scn9/HhQ1FqKZ2JNLYS1jUDN3
JovCfXW9aFu5w7PZi8dsuWVguTMbY2s23u3QR49hvoCYVfKO2s42TTmf0RFE2jdLZo8Fo6iNYRFm
OLclsw2mi7MEoFSQyhWVcl0PVeAYLVYu4qrWpm68aeVYfxg9Ni4rzOUWSGgYLJS3MmnFPozaI/4n
hlNW/Fw4KCln/3XRuMlrr13LpHmf0+zWj633Vhgv0ziba9FP535Mq/UcZ6zmm/SKLoE0zKIan0nq
eAMvklyVNeWXIR2x0ev0kTTnN312lwOQukOI/zoQHkOxxnzDIHUhcGuND+Xeb3cZJPTGr1p0uvJx
iJNXwjX2Uq+eu1aLjq5Zb/zOXhfleDGYRfNJIKNNLkrA0swtUVlJ/FkhUcBtxa5RyIuvtBpVYh5s
RjkoNOO5QsV8HzXn1g3qPnttTJxX/Io7pLqM4gwl9M27VQ/vDv6f6T2GdriqyCzbj4KTlZSVXRpq
J1FUcl/1BMuHybCVFeGcMF8F5JXAFrFGkma+b4BItBr4st6khIxbfdeKhSTmcbiZSWzSU501ZziW
pMoBsEkS+5iXvB4Y486JVMfUfujLDKxWF6eY9PqqS98nEaKiHNwTueTXBFFfoK1sREojXRGQLiOF
k2RC5DAU720VOaY7owpFRUexQK8VcjTI77dRtLow1JKk5yR3qd3nBN9wXyw3fu++O7V2iDRWvENn
Qh5m22qa8610Rbd2yTsTjfVtNtNmzejxrjSKdBPzyTGLfnQqHLNF3m51V3inRjPYg1fnOiWTvpie
4q77qBtPbgw5h5tFiGpVYfkHeGkUOK76wzj3ZLk32fOQINpZ0OArUPJt2NkWOfnTvsDkGLQRrRry
H0k++cEiD4u4E+87nweVen1tgynMELA5Rq6vi5jx7+iZWJqs+3Qp33Konr0hz9VissXvy2PY9Scd
WIFZDEyi9frgjd5H2kUHP452aBZoor3uQXbJPS3oY1IJDHjVcWjtL+hyh0yPrtHavJVd/igy+sB8
kSfbaq9gcp6HMWPulk235Nbu2Mae7EFsyoUK1q8ORmsHzmzvmyg+RsT5rVp013Uur2Sn3+isygOC
TDdh1L9Il3SXzl6CpAVYM9CzzYt7bH3zzknqK+xveztj5DvnxXBgHX5t6+05qt1rEg2+dQmyAi8y
77uqe46wVKOBPhNZuImj+a7Uc/RhPPRZTgckk+coc3dORNigSLzD7MCNGiX5PW5/trCcI2G1bu00
OlD/3BbaiARNh1E6tIfR11/0CaW0p+f5xjeHOxk7BOSMQCddtiDlUrygAtq7A8uFud+YwJPXg1ee
rVy8wXzaSY3Rry+DPBlfy3bYd47+fekiqqME4CVSpUSndCO8TSuLO7gXM2ML7IZkATmcfZNlHTW7
WLatyK/8aADNCSioH1i6kIADVOTaHnNQO9gq8A+eZYgEPPHLj5FBDK1DfoHhsGsq/9KWWYrWaSL3
Vje22ASfEoMJg2E/W5l2McL0flEfIdLSjxpKHGqHrWVK0Mba86SP14SkX/RsorBTCf6zfDc1sRBa
GSU8J/Wm6fksWsMJyiFKdo1XvNWki8yEbq76RBF+cHuy/9p0wnhyhX5scNPHcbpxcN+PCCXXpv0A
SWKbJMtHmrv3i9NHp9JpamjS4V0NYEsrdRxsTb61F+fNqMXONUOmQUju0l7YW9lO5p6AEp7l6CvD
ZL9yy0qHXz6fDMM1A4M5SKAneDAb1oB8KWrkoh56z0jf0we9dDK5b8qFLIboIWy7fakt0WqS3lPJ
upK/+SGa8+e+icfDZN8Q9LhJ9RGJvWBiX0w7x66uZR89JPrS4W8d91q+7PrFI5+ETMXc2LeRz1tj
XMMGKcl4n2+pE+8zNb/RibXceC2K8tFgnG6Jc5dz32/zjhXYdpANDXWRwKQK/4e982hy20zb9V+Z
Onu4kMPibEgQjE12UqcNqlvqRs7pBX79d73y2JY0sn38ne1spmpKbpIgEZ7njrZz1EuwjILO+SBu
bBJISJBI3JGrczmRmAUR23JI81zvWkHddFR61wgXwR1BozaLAlOkjzScsOeSQ0gNEFwr216ZBjxh
6I1iMfdrPYeuihDy9Tto0MQXec8jZvTGA0XejKnK/FG2iC24iimVKvEcp4je0ZS4GwvrAoWzOjXA
dkt+MYo5Le4cZVWQcLZuiwi0pa8vZaP1T6nmoAG1llYJBneybrqpXA45qa+En+amm9Beic6inhb0
QJpymoz2MNbJte5mgSnSDUj9Q9GEt1GDbqfR6cQEXNNzd9jAJz6FE/XbTjRtWg1/6piJ7WCiDTT6
/m3EnaNRamWGxtU4zTxkEr8YxqAPQYWM7r5WQUlcJ37lzvqgGu0unOKLaon3MDWOxcLX5MXJhhOJ
Ig7FeKoX6+gkxRU5hcYaQ7afIhpU6uIArst2MNO2YLfhJVUtP8+qW0qqiLMolj01HSdLJDt67ZH0
1/vCmwgJUjNSI+Cb6XC48abiDn8pMWfz7BdleV/mU0n/XHZUk2mvqgqOc23NKLTVRbPvQw8QM95H
TnOM6v7RNo1jDuTQGjxpDTfI3PpzmC7UEEc3ImRSmK2acuR4w8q6tpr+vYi9k1KW646TTojhOHj5
Z9tQSXbxyj0wxG2rpxviw9YsedSUFvYuFupdJ1Pi+lJR1rMM8CAse0HRHI5oncNUJTWb3OtU2xWD
/jS6qLRTTQSWQt0EgkVGi0bWdzXc3bOn3BjWkWZF7D76xssGKR3I90qdPnheuDXc5Vod9XiV9dr9
TEKokdaPlWarvlGAQSt4g8O2GinrmYYN5WXnyVLPYWS8CLW3N0BNMoGN7JhkT2C2F2AdP9Kf+V7P
OPNrql64v/cnW+dkiarJoqPOgamba22Dqda9VBoVayaMUe6SyNerN7mJjAFqXmKCQUdkGKalGLE1
EqZdPNvP1pTOeKUay8/g1oRwB2Leq0dhLTfAXc+6noZBnWDtYZvG/D4EGcKnddlx1JjLdp689QBY
kY0Jfxi1MMhWnV0R3xtkkULPh94eay0iqcamV7Fpiw9kpx0jIhZx0O6POZt9bWzuIgRMW2KG9pOj
kxLVD6eFfJNVbZlPQuNCS1VAsVZ40Nqzeday5IxkeG2mZkw11NKd6rAl7VYYjwjTosMEYeB1+bMK
ormTl7tt0L/mkVQUZO1oPLsxLF9t3miTSE6eUfquVu+jWr3XIyaayoJVnIZtpFa+WmSnJlIhB80W
lL34GNwq516ubyLDvc8otEv69JiNNnPmJPOa+qdZa2490ZSIKJxzqkXnAiV67pjzsRTpQ5N7z6Yw
bl3uw0fLQMI3RHYV6L35TP/KniR5ZZ2S9rAtsRwdlUYLKi1Bzo5cZZfmSIq7subpGJmFatwJLdVZ
I9pWMaFGZ1NP15lhKxtdI8U+/dXa+v/qNKaeDMsfPe4QWeiP7B8dzYj1VKHrZXJJ63pVllfdIkBT
7r5ZK3+SsgEl9s2Whhvj65vYGMQ1AyvvVyHoN6hNForWwKifXNSZKuArlSwlxbzvp/u/fhs20f98
GwfCzlQtXJ+u/BjfvE0I9sIWoDK46x9T9Ukxfo3O+9Pv6iev76C4gjJUWTZhBb9//c6bke3YRX4p
J040UgVe//Hnp2FC5xvii7LQxX7/+pGDtNOwiOGFwymsa8s7/fXrSwnXH8vyv3+Gb76fHz6/aWda
rHArvZjFVsGLiLDf8U1MAe956v/jt0LIhovVNem6Bq37/lBwk6rLtFTZhTDrAbUXeg5IMJOUubVS
/8pw/+nPIj/2D4f13c8iMcNvfnZVS4rRsfP8Uhtrj4RP9q7e5546j8E/P6hvf/8fDqp0KBYd3F/f
yMApS3hGHPAckY/i+m/ONfmhfzwo0mRVWgQNGE5JW397UIaFlowHb3npjCDMX0exscLPf304Pzud
v3mLH0+3Ba9lFVlqeSnd1zR8NpX/xemMfhyHmIfAD/7o+0NIm9zqTUUvL4jC0K/infhf3LxcmcRA
/wmXDWby79+hVErme1urLovzOjlnmnlXav83966fXDRclJZDvQuwuOaBcX37Q3hxUZczwtxLy+A3
r3GwaNYNea9V7S/G35zJP3kvcHKpHiBqUgN/+v694tAFd8edTSs3M8kmqWgf3DgNsO1Wv/364/83
0kDlS/1zyDMgLbz8mVKXv/oN8KTUhwchnAVaXcdQJab4O+CJAwJXIw+A3zpCfwc8nV/o+gEkxW3x
1frIC/4mC7FwPoJROpZDNLNMAv1HmKcjz+o/bg3IQjyQU49qIYdHNpfVD7eGrKAOQPShc6Y2+BD1
zVhe9ZM+2+u0GOtattgPcJwT+BMATSQemOFYKSqvJE++T+NnYXR3RdzMftyxPU39sCUH1yfEhlgf
tdQJr6VKpvLSNzwXYJqllWzIFWgAV6wzmG9PyBD5oFNxS8HF4zRUWnbT0zBxR+rdzpvEqnSwSeYI
vCI1Uc5ZWLqgVmNDmYISPc+4d6/DME7s6zifnWurdEkqMqmWNlb2kANQWViky3vbUbjxIV+bNh1M
M04NpYuThwF9JuqXbHrMdEBTArCqXRKnKfwmwMyUmodpsG6tyJxJ7Swf1EX6ysmor+L6s+4iUbXj
4a3oYb5bvN+mZrzFZbqgCjDP9qA/2kI8gIpaawOdsDIqvlJAh0YJEVFmXWu+y+jPrOaYsn/yUQ8N
l5Cl7EWPrLvMRcRPRJ4/K8kX3XPui8F8V80Uf13Bl2K5/Y1jZEgixdjsYKNJoI/q7GU2IuSTU7JT
FwKOGplTVeTufZNrelCVmMZLg5JMkeo7rNWrchxbv5gS2j8xnloFHv6ydWRcaVZugAxz9GQzwhz9
JpSM7GJwIylNfVdlpDSxuk5rbxb6fh41ErYG9Ytaeb47dDyU8UFuMqfbFqX3GsXVEXP2scO4t05c
ugqMxbtzQiL7PZzdIlS+wGEHuSr2dVifoxYCnbYSv24Xe1eUMmg5rD/6irUEn3+2GpTi8xR7grzn
8olTul/pHtyPLRXhnF43JhIIhAIY3UmeRU4cXuceGWRRBVIQa7dhzXqH7ZYATtFaa/pHwEnRYsZU
/g0pBrsq6g89v2DfDQEpEMlWWOaCvLAhPqI098U4X0RjPWpdf/b65D7FO7PGCPFQRPFtLDMvahUv
TWQre7R8xmqM29vZCe/xHd0sDdWSE4kFPuZ5ND1JwmbThtdDuOzmPFSIzFU+t40CDWbW2Xa20C4u
mpevp4FgcOw+W5eES+pl5+VQARumczUHlUstaj2UxrqgEQrNzHSyMu1Lnie43zGUshJf2WlNprjq
HHGBybQPmakYNWuNC8A3tfQVTn4KZq+/eK35NCL3WnOpo5qaCwrpBuOjmEFcs7q6HZZ63Q/ObuGb
WTmOAMAuK/yo2fhJn5Zyp5icnaFU+nZ58p7P+sJa5DxZk3Wna/zCY0XaQ97qe9wDBuicS7kWdS22
ScKaWphmMDXpJYlsSjqz2yIfz5ikoFdjhwiVNNskhXfN/tUEdo7MfEKCwr5I9m9T2vdIX8a12qof
oW6+qEb+WTWsfTMZLGoRsSShor+bnfLQpQDVRVE8FFOvb3RvuJvnXtsmdvFczeaRdX5mi6XNnEgG
B1D+xkjd2vGJboF6jJs3Ilp8QlVAQxSHWFCrucJHCp2ZIbofl7fW0J8bprCdp2JVrj3nehlGlsc+
xuPcktUJlEF2QzyTfxB2e9Xp7+KyB46t1RyBUEVVssPuRpHOS22bd30hG6piYCJtCCe/HchfY7cq
12WinseBSBMi0d7HBR0alp2rNNVHfwwrZ5dlJRWjCqiWNxCRUKgwK7SqoM/gStbA6HcqsNI5ERbY
VNcI8gL12Df05nYq0bXOrtNvtIV4k6QU/E5J0EcUcSZWShtnGtd0z077uQhfilIIvwDS3egOujJh
cLbWbfrZdkrE+RKjsUp8t6Yx7+yybfZVbQZZrCc+Hts8cBmFSPhNlm2ZNi8traplq9CIQYgGSu4b
ADsb6C7xVjOZEiuvL7xAKPDcaN/DG7vU68BptH0TGSdy96OgL1J3i30i8icantYhjr9DPAxfskal
Pq7ujYNeo2u06oVAdxGVxCuX5E9MBb8NSdABoR+Y0dB8Y2DHoG31494oQqLrNHch6n48Rrl3CL3l
qCRLIQGBNgghBNsi9KlgotTUsU9LB7UQD4uMPpyv6yG+L3VS+zA+5wGsdrIaYqUlCaD/bDe0IhRk
c2+FS/rjrEX92tXZmLU8vu4T/ZoFTvUzNJnbul6ORh+ewtzw0QVdj0Tpb4wUy5mOdWWVOO3Zs9LP
blm85V0I2OQQzGPbCjCdYh0qw50JCojIbKNod6Wq04M2ZK9VplznbXIHCIMqicEYlIAontas3/PF
+YgK1Qx6w+yQG5u8JH0+/pSrz3WCKH8cknPoQV4SxDD6UwODWYXZsXQJJElFGj00ce4nU/hso7Ff
6Vy6Tl584JF8tgwFZVx/rr9GCfbF55DAoI3mkcDjFfkDJmlUcAmqSF1Rbha1Vn0lT66AuyH2quyY
t0wiJs9UC6XRmgKNd4RtsBXhyQ3ngrCa+UC3EJFAGZnJVvlYzGT3lDpGz7koVi3CTH5Q8HrtaOXF
F6V2P0hqGFY2xpqyUXZhl76TnBl0JAFsO6fedDX/OlXKAwTgaYmORYrqb3D2dZe9ekP6FnfcfEfS
otPW2VNhJc8aN1p3dntYOlgSJ+PnKdAypjiCxML5nNBQG+i6+W6olbHCaHtHNyL/MTfwsaCbpc0J
QlArbDpcdlsmtxcmsH0iKiz26OeN3sbnTfgPeUsXu3FXoTc9agYvXouKJgyQJlRdW6PoP2PlfIwc
MmbqojkT2HwthxjN4IHnldEWiI+yCdc4E8v4CbEWLoVOJW2pbq7rxDvNGDp8w25uyZKgljq1KFtn
08dKiF1BgqcaekpE52QDFUWEs5xLB2EFN4sWp8rYcGhuOW5i5s6Vmyc0TaAQK8127xjxYZrTj1iz
kiCa3Muspdtq2XbIXHR3286lr4mTq2T3BEWTl2qaxRrr8TZNZSQV3AdRQm+GO0GDRW+uDVWngwko
IVFNXd28VhVsodCn1OJBPLZHLh/IDkGcVu8+aLVDzhNRRl27cXdGlO90GsPGPvND16hvSrstZqyl
iT1tEtPSlMd4rCoVGUvZtQcCM6cCO9Q0uiNk9qjMOCKtl1K1EsU3Q6IXIxyxie96GflZKp8iw12K
FWG7wHSt2koJFCet/TJTpiAxK98sssEPx+qJTp5lU7rEs49zpG1yPf1ktOXdZNoi6Aw6m9L20UxQ
tRK6w5HC9XoW7n7HfK1LcS0kGxxLXjiWDDFzV7fOJGtsSf6Y1B3B4wROOZPscid55lGXvx2z+eDN
FHfEp6bVTDQEpi965zxCVnuQ1iAySB2hsTVv9jvPPGmS38b5+cazhZ44qO8MCryTXHg/qO+LZMcX
yZPPo7sj++GavCTS6+NlK1gl4Fpg1+2w/NJOxc6QvDt1abhIoeLNJr/Vs3FTSo4eacK047578qDv
HbjNdSkZ/WHkipYcf/eV7Ze8f4cAAE2ljdwp3dZSG+Bp2UvWQOLFl6yWNaAzSSwGSS2dgYR6PCsU
dAC69pfCSr/QeEfeoDavJ1QJVaSeLW+WMShnU0ehWawUssbBTaMDkuzHDNlGj8Shd/pPkMJkbCJ+
cNutQApBpOiaufc8I5FIEJB7UjNhIJ6gEnvZp8gp+ICfYun4wDsebmKpueCu8GJKFUaxQL5WCDOI
wqr87qtWo1ioAEa9QR3rUz2qhH5mNxM59ZnUeYxdz5ngPecIQBIpBJGKkP8u9EyUGDP+cqG/ey3/
dRqS7l+Xt6Srf7LZyz//fbP3fkF2hGHW05HU4e/4ZrMnvRrJowFGrJLKoQK9/CZlQrLk8Tcu/+By
2/L4q982e/MXtEz8GSmadHLg6v0nm/33eBx7vQu2wP+YOq8H4/4D0tTqhtUZthNdIDtWnX5MzH+X
nP4pUgqM/B12ICFg13B5IYzlYEwc1PcIU4GzzqvzWZxRI+zLeGA6gwxqA6cQV8IQ9oSCfO62i3R4
2gpj4UrrXTYBTn+yXrACXDmt43V76iebq6FV3GZdDDxzrhhdVLExO5RKvkoQyEKwmrqp6kmtd1lc
FBtWbHUrRLNsWxjazaRR497GZrPpqolAWLumvmG0r1OEjNs6Q8w5kEa8TZQoh5Uh0VbZlgWI8l3Z
LvEHsdsjg8xXPsTtSNlDFSh5Ei/n/220Gkn0Jv5KpiDdZzivG9Hc9GTdt0mzBIsi118RPxm1doxF
3CI7hkbMEDYYY7MFTD5Ng62tnF45k8nwYGXGPYHEdy0sd1SOD7ZVYBezGxxpicmd2NxEZnNCTUDX
cJQhPhkSPxL2cULa6aoF9saoYs4RKnIkbALVfGgtpjJQi3WeO4iUaL1rEzvdeWV8GoT6FtvZjNIa
P4gZssm6uUYFQ5X7s+dt5sqmSsHDmMaIXgS9ENaWVpjl2Mz1cQyVrSgykleSaFvkVusnBrHTS71p
puSqmCxjE+JoZK2ut8vS7sM2uY2tJt+mpYUzUcn27SLTj3ChlJ1oN21c3FVtf4wN7DfKrNqf5zHr
UBQReKzqdiBqTlUCnTfkMaH2dEsfo8Fe1M3VZKKH01Ju8Bn7EGDbSHxSat1Z5ow7WpjIUEry3NCn
U8AS4rVT5/6qsUeF3mU0LxnygSpX3+n2+kJzMkNGbhdHwyt4PseZldzUDK5MHXKu1Ijyw1avHLws
1badq37OlHi/2Mq515xPfaxs8zi0WRBbVPJUexnaicjEm7Ekny6lCKYNN5KfK+yJkOxcBzrrdb8x
+OKt0tl16vhIzgb2X4uyU897QT17VangBAkR2FauXi+86KiVV6S8E12i0dqivOqd9q4oYl+Zy8mg
zMlzHqhVrNzlAPnuBlYabVrH+tQsGmIM8TYS5TT0bn9kwDhZ+nwdham2psmVpoiMx0akPxvweH47
aSe8itF6Mi+kXMxUDK7jhXIKa2kCApjuXdF9MnksiwipjBVH1+ZY6ytmbHoqRsRZVbZHD0wN9qg9
1Ep877rFJ6WWWV1T4ET1h+6IQ+MpByHI66Zo4tCk3ja3aaiik4R8e23Ym4PZ35pTeuD4jhbR1gbO
INw0ebLiIRsHulGn58IU2U4ohQ5Q6DpPHb1iLVnqc0jUU5jditDpVoL+xA0usJZ0yz72G0WKWnIZ
50V916rRFdWfuCxOI3bt82Au6OTydgx5cNe2vMKoEKFizuvHjduE7hv24AhMyH5QOt3ejJ19DmPa
xCg9GtHqeR0ns4HGZR7yI8kiWLB067ZXVQLZm6nxo5G5WNPSI3KHu6LOUDNNFbBW3REX6ZlPto3C
zR79ZsDF4IiuPLjoq67COubLXuoEc2r1ZkZ0hNtYgLjkPH4j614F4+N7nLNtNEenFKcGsejhDRTz
2yC8dUpHkZuSQRsq6h0Bk8+GUb8QikObeLob0/7DaadLbi1pEIUx1TZT/qynQ4AG6qWalRWuffz9
FHdSNYCbpe9KmkAcAkZCYEjSbhAybdJG/1IgKd3WqAHScnwmFAC5UI8AMBleuh6TWMvPnE34wZ1H
rewerKF8tDSysz2R3ol8PpXetOsbjQt8Sh+jeN4nE5eoEFcjCTtREZbcP+3bvl8uVmc/i9g6V2xt
rjk+TktLDC50uoM6dzTxmwsaDfg1cA5lL0uT4E5L7S1hUjQW5SiDejfZR52IN7FRVkB99p228Kt1
ucbcVzr3zZgceqILqNtUCeuLj01I/bBCui/CrX5XpdGjNTfkcKrtziqMDbcbqgYEEjuOHrj0hLZz
12bRQcP549FtGuLvqd0MzzJ5plQvdHSwk52VvSougTjgsgOiQ6z44avaZwe+az9ZBHCQ7h3MYb7p
apWPaXaHVFV2rWW/hIgcxxkxQT/ehUhFsTIsQUcbEybu+Bq/40eo4nkhousFcJiVa0muyNLYNmFz
D3RKRUtZ7cYIjNj1CikdI95N15H7JS92WB3VFtxX16s+KAtVW1WmOV3DOcQrF90mlXftU6nGUaCo
7kWlFQiXX9McO82J1n0sigAr7OckJ7S3wXPzNNU25wswx2am+GVl4N/+IvrE8XWjiLE6z/rVFHfh
xzeEy/WvRMW3lRs/YTbJZdSxb0BduFhpvx9BtMyi7aEMlXOaoht7yLw309r+/72FnLS+YYRnzmI7
G3gLlRQg27kM9UWk13/9HpLs/YOF+UqmcxjwRMyGhm0ZPxyGjru1mLwkuqhkaLjOZaHWV9yTZ/fX
byPJnB/fBjGD/pXfRNTwA2cf0elrONkYXQYkmA1QRofWTGk+Dea13BXtDrmd9d+KwF+DfHROhD/n
BrFD/GR/kH/z+/7g/AIXzwZh6b+V3/zGDBLvY1toQsAYbHI1LE6X3/YH9xe4XJ28VNNExPuVT/xt
f3B+Qc7LyK/bEIf82T/K8KGw5ruTRW4QRJ/aUOKkrTuq/iN/3C086AdrsM9ouBFkcvbW3aqiS80k
azsaF6pawwGwRdEpaWKcJ5HqCotrN2yGBFFd3BNSduUOiYpqVo94D2Axms/MTagMZuptkP2DyxkL
1dliNfWUTsH/FQpMOHFiMvjDUbx635kt9lKazWxxM6RkRzCYUBftWC00jigfdXVI1thGdr2MLu26
EQpkBHxpE4zSQ6R0QTio92mJyaukkq1CAE9l/G0509OlMfKRWlof66o4lk14Quz1MFOStSJIPMTy
CN5V74m6DKFLmHyYqhPwFYbTXCCpS1xAS7gblG1ieSwcD3sw+RB5RML20GXkfUkJgefUPgjzoS3n
L7rohZ8M41MvLPrtovxYJGgpKWy77qpyDiYblZg9eAQpj02PrnChSZUmOSSo5bKZLdrIXFXfqNYw
+9g6m/Xkjl8UU9AwkkTrQUYhFaH2RYi6Wg9WF6QEkiRM5OtCywmupqGbPueHwZqLddpMJ2aDgRiV
EeF2ZdyxUgWNM+hg2sQ3K8ClYRvWezPOeNCa1TnVq9ummch4ro8JaulYpOVqdJEwOA0+5PzNxCtM
nMno95AuY575VJ5grqijgxmyLNWE1khNEgFpIiW7tcoo53EAxYz+qiAkP8Ben57UeYE9ix4HgmTX
1LMmW2NGHqPY0bVwgM9Nr1/D8KFIZQdo1PYxqmbOxMw6Ysy76yOxsUUOdUW7TVamt2xYp8QCNXcS
UF57STYhJYCr2lRCntxU3qrCu1atymHsM96rXOt2GpHG1NFVZ0sr+23MWlQa2SeHWbBIG5QazUWJ
qWEiBZZxCQ/7moSjIM2LB0gHXxYMDqrxrOLs8UFNt+OU34nMYseVT48Qk0PsxtZ67tKRE12Pj3Xd
ar7hLfi+p+mxdGRfst4/ihCU3uzuzY6FJGphSGLvknbWWknJcrH6NwGyC3s8TWsYIyTrsijWBdI1
+uEO3iXDrqEh8pwjRiAz2jU9UK69POOvfmksZLIimVPmpaTZpCPSW1MdPo0J4J2WmTRl2jETeXXA
qPlakvaLsb7R13ql3dHZgrvBvAcs3ipGdT2h312JxLiTGjrfjdWChUyBtzOv8KooayNLApHkj4np
IFjU5tciWsQumyMAvdakDtL11qVCEqlRELdOhNNzWkLk0aNEo5OguspTZ9f3NBWt5dKeqLwNCgSg
QajnCBqRSqxs4NS8my+aZr63OQaMqm3OZPtinw/jQ1tQRWdr4p0coVvcVM7KpjoLjgXasFvmj2mE
6aFussTAoZvQ2g7pw12v4YucqnWYD3d2SEixraI5yjSalqs6mRGnVtbaJKg+i8SrHfflprfLciNs
j3zV5oqax/esF4ZfCcro2mzmhOppMlbUj3Yyj3DRu5nUvtIBu7DjBkwcMr0WGhNZMwauUGjPGshd
Frq5j3riH5aUW4mmp1esp4d5ibdYAo6Up92wbx6LPN3HfXMXxs1HLxCtlVN7oj36AuZyX7syUmMG
/2WUs48e90XujRVXbm5snGqQBYPVY1lh1HAmIHj4o5VF19hmihiMk3F68DqyOoYKjmMsa148yRB9
9AaXowjwc6oo+NGseUJHzzujY5jepxa/p2OhViihVGOoVSE5Vg2yNZesK5j3Qyt5WANCVjet91gy
tHPmQHdD2qpdha/bfFkgc0fJ6hK3e19LnndCY+FbkvvVJAvcFM71CLcUGcSyKRFMcQ5lbEEdc6g+
qSEXmrXw7kh2OZI885I7J0cyzzFxOoPkoofQFXtT0tN1SM+VB6AEcV1M3USeD1w2tRvlroPeZoNY
kMTDeE+iHb1/d/T8V0Flojv98ykJwLV//dfqtX17bREEvpc9jqD9l//7f34dseQf/z4ukV6o016E
ZxTHpyMx1d/GJUylNmoolMeMUiZ25D/GJesXlhp6k+EqfhyXDDku2ZSxGjT26dKK+g+85HIJ+GOy
ljIqCzmWtLPriCzREPLv3ywJRqwpUw+Cco6Ll6U7C/H8zdfykz0HYfB/vAMzH31UBhk+CLWcHwDd
AWMdrg4xnDG3bHS9/phr85yH6a3V9h89z5A2bTF/mOQsakq5Jwdo1zYpXQlQL7ZiV1uaY7alQ8RC
xzw0xIHZ1V8UTHboZ06D1RK72ANULHF+0VD0ZCdj7BvjEhVAqtzgidnmSySjuilmOmbmhQx21doL
udJhT7gyvm55+OIRAcvVr9FlibtcB81Od0nrYEVM5bLoZebnQa6P4GnRmg6U5qjJ5ZJQwYtTO8om
Z+/05AKKDhRSUi6lqUApZchFVZMrK17a48gOm7HLWtjIPbncTnLNzdl3S7n4tmzAIZuwwUbsxkxk
CzuyIpdlja25yBRikFijOzwwwWC6Pi6TOyeF82HjNqjcy9jAy3o49HIlZ9y6EZl7oFgD/RZeP0qB
D43jvIbaSDyHQ7GrpxBkkrz2cuHvHMp+QQDyKL0oIAJWOdGqoT93IAUQa7uisU6mhBBafbzKCda2
wRbautnZEmyoTO8hlfDDkuXXrQQkOpCJHoSibnTZ+poeTKl3lyCGLuEMYzHvEglwxBLqGMA8Zgl+
WBIGCcFDVAmMVLL9EKRkAjHhtyBPtwT0pgP8IEBVPNAVszJQmlhnG9SlA30Bjb6NJRwzyORjc7yK
wWkqSqojkcKL4iHG5bMj/PEU6/kdullMrGn+CFX6QDjtox0OQQUW5C5WoIj2BX0WxskeX4/RPVcc
vD7jNFMo/aaeaEMbzJrqG9/IxIkMNpd0+4gAgpk6mP4rLOWAI4NTcRUEaZI+RyFMu+j6NFCGgdOm
+ZjBuFypwgPzGlr1WQED6xxJe4KKjaBjqpW/LRItk7BZDH6WpW3GcwRIzVSc+xiMrUGuQTMQpSNq
QR+vRmenIiE5d3GsK8DQ8pAw+PpKDe8ImJSC5JH8BECi44DNJcy3pNOdCu6nDACAuoQCLUIXMTda
t0LChIMEDEn7k3VDRgfRAJxIgFG4mUAYox6oMWHOVCX4SEiy+0bIFBz6V2xy/IpTFl8xy2JWwnmV
JmNyFhLUbGq8Qx5fxQpRYLSmskKCn1Xsk0BHzPygqJt+oQenlHBp5SLKWBWDeqxt9ol41lc9vjMi
SS+1WcPGkFex0gwKDTW96Xag7ekmSoaTrUXwx1ldkhRtbUOxeMT26NpqMPN6U/VNRYl4kl8cUjGI
pVc6ygU44jCsP1vL/NCGxquTNTvub1cp0oO1pwFvzLlyCjNdZR6DRclsSxC8X0ETWIMii47C/HHI
yttpbKma1O2LSU4pd5Y1Qg7fcLTBr+ry6DQON0QYbM2ZbsrBiNY1Eh7uUYeoCXcUNzPhwtqAqdCf
vo2t+Ao37WNGFwap2oeJJvttKbIXM8U01yU9S1VoH7WeJPCQefGNlFd9TUqYlG02U3GfacUUjHgv
Dcqn1sbCcIHhG5Q1Sdqrxc3Ohg5LReWk1uDBznFhiYLoQvZcn1veXiepnInFbvf5PH6SI1qho+Zg
Wc39rh3izTyhc+KeMxwm1a5eSlNKNhPlo+li1Z8H8mt5O9Nv0YddKiNv0aVlzgjAG4/b0izmLbf+
+DFseAd9yO/LgvUJ3bt3GOaWfu00OpcM8eucBBYqtXGhmZVzbzUVcBBmKfIhdeS5sxmGgZU193Y4
37ultciKS6R7Q9UFFo0kKwfvbQ/0vUVlUW7JrapoLSEXvB2t4alNcjcQ7pwgm0qmmKdS3KMIgKLJ
pjowqHnw56J6tsd6jyE1EM68GboKQ49zyJr5kxqnmzFh7azq+NOQ6/fu0HhHMYtxXylp61dhTg7w
kE4r/I3PJDogJRRm8zTYqGrZ5dEqxpzorHyEQYXGky4jG0lkF4E7UPeRDurfNf/+BwxJBK+N2ohk
C4xP5NZ8//jXi8I23Cgtzz0CPUsse8uebqa2C/56CtB//j7SQODgffrPIaB3liKL4vJc5PkVtXCf
uCthii1euF0StDJ70qWZ70ZRB7mb7To9RmCpr1y9PHKnOllht0ppL6Fw7NZu1I0RU0FDjh0E7Hs1
kPU9cwmYi3u21Yhx7fe57icDzE8/OZk9jmaaFop4qUP/ZkCyiqFKCF0vzxPrTDTfy1iauPobT9IP
IYcSR3WIDAIBwyZEA5jzw+8AoEEqbzaM5zqKuxXNcXtYJhOmtOG5MY5kxynjk1Ln1U3pcQ566n5y
JxnHUHOjMlDopkUQK8twM8SGd1f+D3tnshy3sUXbf3lzOJDoMXiTQlWherYSSU0QpESjBxJ98/Vv
QbqyZNoWw/GmjrgDX8tUFdFknjxn77XZlboS1YjK7NUAvuyZxJDhbA0vsRIfxgDv9aDx3lg5bdsJ
iNotKIPnFD0naV6xPw/MYhphbaIsTjdpq39Wam1rjgRlsSqhk8Hr4pUVkAoQvbSDJKVNZO2rWXvl
uPw82iYCU1Tzo52dAQn0KG4nZaeKITmr4OdX8wgzMBQtako3sYlCCz8Gncjvq4HpoivCk5ljE28s
CbNeDBv8l161OCWnBCisVLUrXGnFepxJUhd6dgrU587Ydqa9Z118chTwBfYgdhOhBpleR5tCFjNw
UmZcDNNmg9Jj5DUD7UWrg+ncrm5zJEpiPMANek5jLfpM9rKvonOEghqdtXLOVnpTbTEmE7qnjbe5
ZWUXl2R7Yc3jsbKbb2yuf1QoECbxp6L52/PAC+nwOKBRIBLqz09doCtlwZ+1F1toz7rb5OtZ9tnF
UqpmxXr6KWyWkAE8A8JCAht/5TtmZ64KOLwohSgUNucW5uUwa2ezdB5hxkXbJjerLQdfxOCmBpg3
pkODJgzze2nkO41NfY3Ie7HBk1mIU/sWaEUBEw8Lax6PHiZyRqRDB7dELmIk1Mz5/LkurWeCNEyG
v6WNu1z7YGkTtTMKCL0Va6tsKq/maAsN03pMHGs/BNoXzqO0GQeWATdDXzveBy4hAX3tVfTzEMny
hKBRnrQ7s4eRnER3VUySk+361tQ+OojEMGSU6saqsIxHVb9puqH3HLNBZpgoaxUq1Rqw9LPCM+FJ
V38SuvIoor4CkECmcGSrhDOTSaSMJRaG2lfVZO8i+tNKe8VutDbSVvUcZzjawBsH0Tds8xLxfXuv
D/LicvJuQErpg/q5gvdU2NYGGOQ57Yp12qdXZTSe7MLaDiUMDBt0SFzYnubGN6lEWoCLalM208bK
gnUuKWgICudcwsvYK+7NULW/x7YSkHukekYHw65Fem81cERR2QphnaxG92O94i6JMN8Y4cyElQo1
7aKTAgwnFcNDWbYryCrXZmSgccCAmypHVA/raAh3jsieGOduK2wUpGUhyhfsmlkwYL3HtV/nhE+R
04BNXvHhnx9n2OC2G8vVIFA7NCqL7gzHPhHEbYFHRwG4C4uWqIvqVDgmVW+bKbj5B4kxwD4YIdjs
BeJCo5J7I0mFGvBCRnI4Kw2nhAy7jp5vSvLUgd5cW+bGpqE0OJd83FpYBIxdYPcPUiW8I1fPllnX
mzEwTkk0wBMIguBIH98GZCOEZydB4Q89cD3qhl05tc0a2s+u7qlC7BJ4ox30G/wZ4p2t7Z039a1/
UIvcKXFl2l3g0aNIPyMs98Z+mUVfpfVZcGL59X70V58nOqwfK8MCrft5P9IIA+B0wcpQlq/C/tKP
t717KsLHwdj9+oMWXN1PrYFva9BiI8YW7di2YS47408739C0MBHVntQ0AaJfxnjb0QDfwxUt91GJ
gTUde7rAMUA1fNVnpyJLw0pKgKOLxHDg7/VQlPxOwM7NWOjof/TuoxKXV6Cp7jLKN049Xttoiwpx
XBdtuAUk+qlIjAclyuRt2CHgMMlA9HOzWxQWKwqLzQTIFDlQ4Betbj8wf76ToCnopBw6Hbymrh2J
X9ib0r0a0vBYs23boBpSreBlUpamrTdK8ZDLehNnwR5o7gqchrNqzfx5VifTy4bwqRrdGq990AJ1
1cN3ruqf+y1/vajLQPWni5paKIJqencXZ/wUzS+T845j9r2//83GoSoZNXKYTuTj3skEfL7+4Z3H
4tdPxVdt3U+/QG7lqZqCSL+Y2nVMtB2XSY0m79cfslyFH12p71fJQUyIAM50rDeP3mg3jNxBDl1A
6Gvt53bIqUk+xKP9zt34aiD+8UFf21+6bZuCF8qlNBVvPmhK4oJoQqldKGM+s6mt77NtsAYWuoq9
h1WxethDPzi93MZe9HHcPKMReOGNbnbvRbdrfx5a/nXDf1MAun3sSjdkGWm3/Vr11M141/n5DVnF
Gxfj0Vb4XOet8JhorKKNu5b9xrgUn3992c2/+xY/v/Jv5uxZ0GSORtv/8jjutY29QrB9ba+uGmMV
rf0H0ztZ69x3L9F23BV35u4e/4g/7lj3VrNfAk5e0zpbu2vl1O0Kv7mKgOoSjP6xXHUX1Zt8c+/u
y+Owqz/k27tff3X9vQf/zQVUtCbOpBLzXK5QqW2bV7mV92INFXcdrKM1Lf1tfij968+nTbfHhjF6
yYE50oEUCI/NZ2Olqy+B9/HX32qJB/2bB/mPNdRa/vyntyWOy762Lb5VtHdXkTfvcj+4B++feiVu
oFWwgkm3ynznUu20TzTSNr/+/OXx/fF4//U9erPasNQojIURuqpzubGH4TgrKfYrtXxnU1pWlV99
zptVx4Fr3PcznDxq6lU/fFbH3WC9TPqmIv1Lkdtf/1Z/f6v/WB3edpQVFEIAIpLuAh2Uk9+tDG/+
/z7gzZlPHx3YT0jcL0xntYQ+oGuvf/0J79yYtxoFJZdOYQOIuZTy0pAsKrXHuXPeuSvvXac3i1sj
CA3t7aS9jMtdmYlLHf89ewDAv/HjVrx5wLpybrqiyafL0I9eDIAyHb05v/71xXrn6bLfrEpWECoT
zTl2g5FEFpe4iKwlC6/zCAf1kkG79Ji2f/2Rf3t/TNzqgjnLgun883vrYIkPZNx2FwP3V7KFYEeT
z//1Z/zt7fnpM968NFmI3aKKjPFiJsyT1Zs8f6er8N4HvFkS5zQf9aSs+ovKoo1GMtWzdy7T1/3x
Vy/+sqH8tL5FMUOfIOM55mywqjwsJ7v0zBHBO9RetEGvtcqPv75qi3Phl2vN8lv/9JGC/p9otYg9
6pHGMBg37xzy2avhGUXzvl9dz8zB2brNDYbRlXOjrG7bzbKrXz9V1/qBU3u0gj/frnbEB/nvfb2/
3ch/eiOst09OXA8qGL/2Iq6WjVxZQSo29oXwVqlvrB+K1UFdTcffkbczYP8wHYfV8M7q9RX48aub
8ua+90rDbN6dqCXWaDXWyEw0a+Ues/Wte7FOut+tn9AhrAo6ttval77jKe+s0O99BfvNvqeMnWIU
g2wvJJavMNrCev9ibsXaPnav405u8pPtK77ye/ike6OfXpFg/vrOc/L3W++PpenNc5L2em6Adpgu
9XbcIvZZxUtVt0+9e+CB+z324dV8wS31AOF1nW+lb19jdlt3m2gPdexT5r3zfZaD2V/uyo/X3Xxz
SRwFQzNH5e5SbQzf8hFHjVtcGKf4KFaf4dVuU8/Zyx1NvdPo2R82OCS5Ra2fbu/i9VIk/K84+G90
vySx/9HiXT8zqP82n78856//9//42WtR/HVkv/zQ95E9RGfHtBjI05Ql6nXxB/0xstd+46xg8D9Y
PmgLeaq+KxyJNlRVg1zY/8UU8kffFY6k5TD85s80BD/IIrV/M7IX1vLo/niUOLXQSAeRw9/pYN9a
/ro/LYF4k2xt7Bz3SstrxmmmmKVf62VY3OhKEWkcm/Mm+OTqWn2j4yq2DrgeCm+mUWAl7qku3BRr
bfqSktU1YazuNQ7fk4EsaCV16JIeuMJ9MTJ/6nr3BqTH71mQxx5R2liHNV+xNS9ssB6YlY+y33cK
vLhS2Slx9sI4XqcVU57CZLhJ4eaurLYmnNPaodQERow+X2ckFru0CRBb+pzMLhpu8Rg5JLgEEySt
Ou0m0derQhEvWAVA8PXmvsY+IQ17D9fwM97Rs+PWGU1xfrcnlx5dG1C+S7N8rdFcpQQIMi1oJ5yj
eIpm8sXGRIVL2QvUZCXIQRAeQ6smbIhKvZG5XewxvfHbFvSHmxJJZNOfnVnksBvYNuvUqDca+JTI
0PxE78JtnTKrE3WIr2AQz05aH4l5xBVhMLQUZfeU43LpkgRCQnk1ToQDKnlgbvMGHWOhFvshJird
jYnREUpurlUy4Vdl7pQ+M1ud9luee5brnmQy3eRmSiAGzbpIS75Mee9AyS/YOMqAfEJO33o4PRda
h3xRiN9bTTmIvtsj6DihqYBV6mJi7xu7gEjTDaeyFgkDMoWxnNWeGNO/5koxPHI/j635ac6tsxE3
C1T6OquSg2oFd0OTtARipElDn9CtaDFqRYfllxlXuJIZk1p0d2QaVZSYtN+zxkE4afaRHztOPa7y
sHLPmq1EBzstgY/jE91zXaS6McAX+pCe3DtEmx0n3EkgUahK0Ck9yGJf1qaRrbNuDH0xlWQb2EWt
news6x6c0nJ2ypyqj19Xgf+WQ53i9p+Xw8U6uo5fw78RfS8/+H1JFNZvqkMxjFqI4Qri6h9LIokY
qIgWQpv5P/vnH0uiTjor+awA8FXgh9TRP5ZE7TcTdTM4faTgDprxfyX6hnH/ZklkJdZRMC2aKIZP
0GT+vCTGSRI1EYzcM+5vIm+YAJNZ4XWWmR7yOB8kUYz9bNekAqtSg59cTEStEm/FTDI86Qi0n9Oo
8PSWGlatPiV2JsT1IBoZrhIiD6tV0xfuVV628yHUuyzeQ1rW7lHJK+ZeNGqtkOap4M4O9OCQTpZK
7zDFh3cX225m0JOcs4bw09AazrXOs30j88zvrSJ7RS+NahVYVeYh5+kSX13CHtyvuQ9tNbV7g+k0
LdWZtJpNoE7dp9mw8cnZVaQetc4NjnWFO80rwOtvItKcvbqq2w2raHw028k4BcEsO5bDwH3uGrS4
aAEC0n9sAyV0ivf1OtLMZxB7nyDefk4sgCiQ7HIPicWrbMledUtBXlheGV+AwUPfZh2tQvL8ZtXc
tqnSfRqs0GILUePYG9JOeI47YM2EWvAgFIhBbjoEn8cYGHOjF4RdKgGrSKoRniZqUsCqbiTDQ1a+
AYfPq/sZhUdKC910JGDBGnyPSxgbN1euLSyUzdAESPbzo9O5TDWD2j5PpjnvUwP9cswIC5115Nsx
ZrA61NAYTU7ilZxRWUDStXTcV8fACun08w5+2JVOVIc/BWRjKZzCiZlC2Qtp4NGIjGBNpCyTS8v0
S0hjGBOReET1cEn1EZ9mFI34bM1xXTPP3SSK1K7UME3vFNylt4VlFa+JatSHvIqLB3TKEKTi6kuB
ofjbcei/VUujlfDPq9blWT7/tYZbfub7gqVphEYLxhe2vVReywnlpxrOQkIJmFOoC6WOyu97Def8
5gDc15FcuiqGJpuf+l7DOb8JkwoO/cL/1sB/U8PpS6zin2u4JRUEjiY7OWN/LP5/XrDqqsl55LX5
SkoCBIXWsqu75MVLc/ogksoPIuezARtqHcjuRe2CT7HFuFsdjWNjBtnCifngMtBUzelszixTZpvj
XQSkpYbwVeJsOwXOtZqFJJyKTsP5rPrp6J4H3TyVeek7obsDGwYSm3LCsUgCqUOUU601MH8tOwA6
WHet4ugIVxKLYIRn24Lbpsg0WDmVuZk0lM+VovpM2/aqSfa61JyPttSvQVdfmRDGVl1dUHHqffYx
tSZ0VykDfNO9QchzFwI4Lkx095OZoKDMSgRCrfE6lGFynudOor7lcwBa+bNSkw3fhZ5iAbBWUqKh
R0FoQcZyh/9bbT0Acgzuw3SjyQHRH9qKNdpML85MltHsJcQk2058ddk3fldRFnmlkfjjjArcVqNt
id+5XiTwYYvKgEFrbWRir03lUVdBkQk4RAFpJZ4Da8wLUjIx0hLV+GDdVSK2tpNTtx7ZJ/wWMMiI
VrJQBnWMxGbXWpmNme0JmGA2qHs6+k6kqsGnJnTuE8Ux97Gi74wpgI+nkjZmjCydFnFgJvogIrQZ
TxtkK0VIXypIAPekeTQrezT3UMjHtRHKWyGy3YjbyosAp2G2ZdJexk2wt4YeYZqaJismQNu4wNk0
R/FE0DiifjNMP9cCxHhfid5DI6DduhXT3NlMN5EJuQfRSLRWWsGMfCAYEGCplp9T+Cd7C23bLnSY
wA2Kk+6lY67HJcaxNwywhZqd+G1pZtWuZkJIAOfgUI5a0RcwTXLj4OA+ENYUozCp93UV3jcqigy1
1XaGQpI6BNNNE3Xmpsc+7/RFCZOpXoInfy+JV0PbMxzVsX+UzYQRYgaBqFUJpHgX+FAgH3v87hu7
mU9dMZ5yAFBe7SQ3c+v09NlDvx3MM24QXgnlYzsIJuvDEkSJosQKjSuboMSOTdeM8QUxdSpXbtr4
WLZOmYXjnZE3GJTgqlfTD+6IlT83g32oVVhkJrA1iajiTZ0gL4uj4tlV03MUKoSKhtGGmuhcZO6u
Xba2wVa+xEH8oVQmagyFKVKiqV/0WH7sU2cN4GFa1Y4mnvva3ChCeSL0NMJd5px1DkCemKz0xkqN
T63sFyfrF3tujsDjmc1iy4hntq3SvBqBCJ2Z4fuZWmUbaVtHnVDDuuY8BCXtFv0myfTx9Emz71Nl
Y0zOUcbx1u2TBtUI1vRCKvdxD/ioTbMbBx0Czpn6SSpk8VldgN1lvo7MoPQsvV3rA/qFONkoirWD
GFWu2oA5v1o3rscAaZVF7hlOwN5GEBFTkHUQlGptaI69TU2f5vMn1+rbbZvXHuU8YRDJKlMSDLp9
deqGee/K+EUzwWEEAuAkHtOVjJO7NjNf3Dqq1t2I1qOo7I+h0haeyANeYnQXKz1qN8iUaeu4M3ns
TYFa9/LfOeErYmYZ8P/zjvtUZn9zRFh+5o8dV1DtQ4BZ8MDwW5bh4k87rqEtJweDVBG2XLbVHzsu
6iAWKdgyMNfYrn/ecXXBxgmrhaaKRsvj3+y4bO9/2XHpmXDkQFZpY4dy+RI/N47bekgKEFWohdtA
WUmnXdtBfd9qPJ2JRmTMLIqSx19kV1qb53dNF+A5UEW36+ZAwJxklEk48EKq1C+LNWPTZjn4Ozt5
1WEieC0kuiNipBe3G+R9OS0xvFU2XrthKAE3ogFyu6DEF9efa7VjtgrtrY+j8opTMt3roQhvBfBz
v0OMuAlJKl03QnzIcSLsskzviE3QfWl2e0ra+7Dq6GoacDuQokJ6j2nakBeJUcAaOOsTlzJr8QeQ
muU50qZi285YMzGrIeLiElzRtQ+2ZDK4pEexbIQD/WG0u/lukOye+EDdHZI5RESh/Vg2mCMNSVZu
0eWnrpr81FWeBiQ3q7Ykvq8k48OM5EHtDNCpobrRwv6Q1goICYeMXXEuMaqyzqNJKi3UwkUafTJ7
g4wpimqkiQ8hUUxk27FeRSHmpTC+a40GwV2mWKi8hO1ZYbhLZ0wSipW/6iHNgJGWllWTONHORbeC
IIhOSjHDbRQM8HPMGSseYQ2uJe9KJbgY2fTizPGOXDKk+VL/EkzNNUCt/pTSpUDbv6SBoTkC7woS
JJgvZsktbSWZDtNwneb6i6bXD/OQflYCxKoEwh7SbLyyBqh2tuR0JEIVzeag7WkYIiFhbVoPoXuF
AJ3qJDd2OBNO5Zg7m5Kp0soU0ZMM5xtyt49JhSxKIaoIixrBwzwfpGc5Vepc6ZOa6C/QZcxpb5NX
srGj8KjAwaE7R+dpDdWmAZ5mvipNuoWXiohcmbYWWb90fRLzrPbZoU/wzNkmZZ0GoE/H2LbKetyn
wbLDh8teP7HpO8vu3yx1QG2avdc7NWIZioRKkwayTuoGsqExZFJKqEtNQcoNF3mpM5gts5Uttcew
VCGITUHTydtsqU/62NiPS8WyUIzui6WKCShnxFLX1EuFw1wxXyiQ0PmofnTKoGnSdvFSF6WmeV9T
KGlLxWRTOtmUUMZSSwETIW9nqa9sCi3FoeKyW1A6RAi1nlzqsbE27vqlQgta84TFU8IMpHpTKePq
rKOeo7CrlgqvKmPuEjVfpj82IrhShnA7LEWhQdIQvgLqRDev/WYpHcMpWjvUkhE1pVNCkl2KTCnt
kQtLxFLUHLBVy32qYKTNYiGuokHq66BTolt8quGhMBwM105w6SuMmIlrbbSJ+FuQbTznPRilQI43
JEMOq6mSOHSmGSOJpgU7tWoxizal4U8hWEMV+edeVsUxjFS8J2GnHxornMHTCMU3SoTRZSVvLMWt
t3M6HRQ1fJRKrl9rCfJNVr90r8SG60WpPCgkAYdjiO4hkU+VnYS/NwUep4jX+MZOklc0XC3cQ1dv
69V/++fX/XPpif3z/rkvpr/ZP5ef+b5/CvM3i/0RlBpvyzdCwvf9Exj7EjfLwRS7LpQ1ulvf988F
nsDxFgwB/P9vNLfvJ1bzN8T9CIjZb7922P7l1OHPAzVTpX/n6st30PgWYEveTDZ1VHk4aeyWIb/F
uanMSKUqc8OZbyatn4Fcxm5EqurGiHo1Ykjfp8PGZFQrNqXOJoRub4r17Ehrq5qu0JbSOCFkcFjg
AGJEykthnUW6T4grbPeVYWRxA0k3IG9urQRuWeCrtQB+2F3n1sXaVmVvHEfTHBp2NSSrzbM9tzV0
h9aCqwT88pvdVQCy9pNGuueoUklmGmtrVQ2D8aHiRU6RToO1KVPcA2kCSqsa+mM8QacGk452MEu7
W2Glw4tamCZImyQKX2jmjPi21XzxdJcbojeDS6KYxrZXkgict6CR5Az6dCOIRtsDZB3OaWEPREn2
LfY++TssKIpXiHP1sxPTcM9aSKBeBE92H5lJe68NFeTQqDA/O3Pm+n2UDacQdkNQzrGfKYZ+68wq
YUkLMz3r6AggBWaWYLYtIG5LZeCpLpKFLmm2hhRSApfIxbCi1nrhNrW7KlBnPFLSFRgQI+2TPkvq
+hmr9irVOu0lZaklzYt8wonG/+PC48OHo8H1RaG2np28u+q69DOXtNhD1xB3AgxRRrKP6pxZPN0V
RKrogp0hXIcT0CozbhrfdQlsTGbXucA7MrESQklwJ6r/iBHGZwP2wckcguZjl9N8aNyECCwl1nBn
igyIecQmN7nUEWKsrBuRgiSNgQFc67Eu1zA8yyPFFwejJj1A04U44SjOtjKn8ffBiLKdI/PwMJas
fbgLbeUcB2Tf5XGTlV45wRRHZI0XbXIKX4ZwxjkdzqsRe+qI1tkNDlmtWB87V3ko1Ug7aYojr/j6
wVYBlXRuSg3ccF2rV9jbR7LThmQfxojJS6VNznhVp9uoJo6ybwZoE3E3UtvNwbapmiZc/7eyfltZ
OUr888p6fK3/Zp4r+Jk/VlYyuxGSonxdEkW+Lp/fV1Ys2AQN0SfEBW19a/h9X1lZPiEzMU1QCe62
7KVN+H1lNVhZOeSo5KGgT8WD/W9OJl/FXn8a57oWJ3uglPQBbcxRb5QBtpAhFdmM2aOxm1Xax3WI
vVHL1nZluL7dO89NEA7bSprRRkxzYiiHvHE62Ol2rCVPsQZj/SoKyq7aM8CT9CS6BOykVMzOvpZG
XQ/XaDEuEqTFPVBkDSWiPtvbpJmbGyeLkk86cLWbqZhgTuKdEJsQXzM+zWJZ4jVjjrbt16e1WhxA
eyNQ8gSTc2tnzROErGSUUMtmAjfXemc1cbPVijEWh/wrqDKcJ5wEcRUk2qZdWJauHjLuteFbjn1r
reuFe6mkU7UZqkD4fWqJzbDwMdXUqj/OfdTBQyFyat7oX6mak+bO4yb7StuUdqAwjDSkApBezta5
m5qIrGCttO5iy6KlUNjEe1sLy1PIKG3vUEDV7sYyZHY1Qv/R/Mrm/09hUz7Og+HSMKtC7LX4g0p7
T/qErm7+e0W/NQ9++Yred2XW5cUrr+QbUsLSJfjjNXV5Fy3B6ImgJOcrffan1xS6mCBKWzOoQxZR
2PfX1PmNMz2FkdAsl/9EoyPx/TXltedf8KqClaLLzhv8L0gJ1lfDw4/31KG5YaioLizBQAEFyNsQ
JNGbhLeUeX41m9FB5wBs9CXEPhgwc5GUW1BPxioJsjOPV7pl+rlT2Uxi2V5FnbLnRLp2B+2mALLZ
6eIwNPI57YwnJNfM4drzOItT6Bq7OaItmpLm4EV2+NRM2Q1Gl3Rj5TnNRQv944LEBu8ivVkMcJgm
cvOyFNOgk7fFQ6lH5GSXzqnQ82snSolRKF3oJLTymC68WIq5hTlyHY3lFWNInnc3ecTgRNJNYV05
ZtXBb0kXYMwQX3VW+YWoN8jwY9R6M8EHYFVSsTcn59S2mO2C/F6fxtfJmM+N4b6gHr8fpr7EwR36
nPWPlgk0qeytK9w/h6wFkupG5gcd+/Rctp+GyNo2PRPZmuptNbjOteHWxywvqQ3TSzIkW4mhCRzU
AMLRzpSVqJUHjmSS3rpk7pGcoprQgVlOEFHTdl/QemZ2CI8pstx8qyTupxF2vNl3hCITqyKrG8D1
2zyNce2LK/yw204fb9GaECyTEPFTi2ddkEWcKY+9ETxYYKWsDmu625Nuq2f5C1ixD1KBwpLPTGDF
mFymnktXpd2NOgYjMTxW/rEy9tbUOEuUSwjjtbL7S6g622Cgeslx13pT199FU7Lhn+NtbDXZuq2K
jx1fI6hmZrIxxjQaN74Zq1wbB6OlOh2rnvuQJAr+NJVslHJyUBFO+m3soKcfgi9GhQeTNe/eKK1b
Bd2Sp7TWyc2hgeGBA48q0fnEdXSr0LymyDROJMtShFbJvRMUnx2VILcgv8mj9EtS1B9Dl04x1BLO
iPxSOxkIMnOUAElaOYaerWlb3aA6iu3Ay8oY+XLcrWf6R+ac+ippjqkGvAg//oSFpnt1qJ3XhkUb
W7XlY1nmG1fI7BTRCfGqDKRTWEKXLEbRYLNENqKwieMA5FzPni7P81SDiE1JwOkccE8sz2WsIOcb
HYfMWBpAWQ0SEmLRidJ7Cw30MbbsExqqW8YyyJZixtmKmGdSfZIOkhfRqO5U8GTq2idZVHdOz403
CX+azPnCpO1L0CuQrXrz1pXObTcEBBUxghBBsLdTBd8bDz0jM4zis4OjXzBA08KUTsdQw0utsOcr
8/Qc6jPwpAaSQMYVXbVKfWiJUmJbYw+3qWSzHFw9IeLxrOWbKb0FHyuiwACTPD+zIT63vXVPmM19
mgna3c410BBCeMLZ8AYNlogeKx8pc4tVC4aC4mEbTb0F56HCXA7Wk9sOnb1QkAcF+XSgpAdDTUMn
hYu91sA8aWNzzoivpQ1YbGJnKjYQzJ45Yuwm2ZoeCY8kCtgY/6YBtdJUl93ChbgjP6VkTAYVKdBC
1yOPju+zUKiGjieQf/+7thCqJnOhqEAhANus3FZQ9puFZ2VYeXwobfuDBHXVLMwr8AevUqpXNjCs
JhktBhXwsYqFlGUJwk8WdlYARGukh7LOF65WReDdKl1YW11bPBkLfatcOFxhDJGLZCgCAYB0BRwp
diXYrsqKS99laTQAelVQer0IxNfcRldNpuecVZYpJBiwIckHYNLldQUgLKkBhQEAwYR9R8Kr5pVf
WWKl/Uwz9yCBjGkLbWyIVYZ8AMgI4RZesDDJMpANNLh4qNMmeOqt+akGYIaZKdyFmbKTC9ssZ4ED
jdrdyYV7VgNA6/D7rp1FGTcsdLQwr1+SOmOpkF4JPo2Fzg8rEGwaYDXkCh9TrX2oK0fHptk9GAuD
TWiDWNNBiI7zQmiLv7LaIpzQ5cJvo5IhAzu5KyzdRw5SroNUPA0pLG4XBpz5FQa3YOF0iVC41j72
1s3QHObgcYiPRqTfkHKzQjH5MVHyDzFgOWshzFmg5rSFOScX+pyaWK+ChX4jRveaLHFe7YVVpyzU
Onvh12ULyS7GcVq6EPxkhm9R29kjzLuRHuMMBI8koGO0UPHisHugrwfOBGBe1V76Jd/b7AjCsmE5
L1i9bAHsaVVN77mOHyiK/WyB8DGhEtDK6rO7APqgHBOttUD7ZqHrq2YB+ZGrthkg+yFlUkg7caIZ
xV4IfmDqdEaRY/lKPlp0HoqWVjGoGNN+SMp88Os2RsfXVvN0ERFxIxF5B5h00auFTkteOjkyrF+H
gE77ldBrmBCzMhPL0hr73o4uWR05Di71afLncdRYj9EbsnkkzKgxPprirElzz2p0sAIeHVo69KVh
LCu1oX+ER8cK0aMCJAhqB8fyYhhNuCsi9ZU28WswhS9sOYsHfySKSVnnDvBaJuV6y3dsdFGu0zFD
g0OOmhlGvqYmkFMCneUhtB4hGvX+JCDQDFW0qQQeb02btzDIUfswQQy52PKlVQ/CCG7TwN4pdLov
cW1f6XIMvLjLhZdm6gcuP7u4yF7lmBx6uJlbWY03dWP5idOQR6rbxbYY1RRsuirXeLUAo1fDY9Ey
oRyzhYi+tjLzQ+5W11OVtAx5U9q91hYkx3XPe8KAc9yKVt7bpfGZxfW6dQniziIegdiqboVSb1ng
hD8YNVu2aC4IYQn5nsWusOhkukl+ZbuoZWEnkm/vptOmHluehyHM1hF5H6vaajb5iIxIWhBn4lJ7
nhs4n9kwoCeCaI2w7EKR+1jX8gTYwPbKXNkIGqv4oJ/YWhiX00Kv+iNv7s7mqEebKfog50Z6SZyd
B8FWm5KTE7THICsfTCkehwCMPHj1h0Ybz+VIhgjtE9JClIUcaoYf8wm5lVCy/RwfaqM+j2G4xTWf
rrvYuYlMyR6tWB862Z/nkVy4In7JDBOKNdSHRp9OPYnXu6me2k0xWudcOAXJsyyESuST/WKtK9PY
paV2GtT52NW6Ti8fppI1Ww/JkOfXOn2iddg6+GaHWlv3EYyVvkMOgrUX1npewDIBGQVlqN41hlau
azV5semdeM7YXduy0X237ksfn0tzyit4L5U+HLME3GkZBn5KcJzv5kNCzRm0vFwmufPGvdUqByu2
c9+Kyr1LtbUQivSErJTetf6LC/k/3wB0gg7xLzomcRE2fz2LLT/001mMyFpiPmAKaH9pmWCU5SBE
sxrtOeet70cx6zesYDAraDvj2V3aIn8cxZZeNE2U/8feeSzXjaTd9lU67hwV8EgM7uAe4HhDHlIk
RU4QIkXCe5t4+rugalWpbEfNa/J3/K2mBzI/s/dezoLAdejx/tEs+lscyq+d2GLbRegpBJQS07YZ
ldNE/rjK1QJjkfQ41iWaFaN5AIKZ5eB2ZK75UaSwXBUIt+NzK1Ljc1XaE0L1MbuqCmhkCHvcuTEJ
317nqBARpLDbep+XDU4ZZzCWyqllvkEE+mE0kBmtWIzP6bXM06cK3KetRS/TSKAZ8/iLtIvaNwvY
oGyOuJ7q6JWgA3ulLwRRpFPRivPYm4CLukWSeiSqS38EPBppwWfGp6BISzWBspZ9Q5SmGZdpDjVr
S6cJtdCP+Ky2V/ayK86mIu2djJJdTOzWovQa11Ru8SoohuqVdJeXcEhsr7PzwNOqgrD1eOSESnZ1
ouyoCjvElMWrajQJI+TAIAaFmzxU3vQzYN9zaab+ZNA1uBlKsCALPmm1uOZEbLhy2CbzVevsh3Fo
nwj4Wpvw8NyfE0/+lTGa2ID++kX8OUbSy/48RJIP/f464kgB1gM8F+atxmqUWeQvoxGdfyJhURgW
0udlyPHL+8huiCRsg0Rs02F24v6grbBh9kD4wauiMtAw/iGz548hjzCB2FBhjLEsvtryTfz4Qjpa
qFGAWeWNLsj50jtKHG2Ucj1NJOHpU6gR+5JuMkPuixz84QrGy3PuOosxZSPcDspJeXGYXyaWgmEj
WKvkgdE4OeUpix0mAnHzKFXzs3Dh6okWjodQuvUg0092E6Bh7Mj3SUMSccrEuU5UB+GqmRefQYYI
lMraYhyqTeoFGdzgu7M54D2ImLtYArSs2tH0a4TCJcwWtBC0KQ/5HMBddQlY3vX2mLOAMi+TXCKI
mL96ttuSprJkYg+D+jBoKEkSueZQaP3ONclrUVm8s9d6s/k5sdrweWs3yDf9kKEnm8blrU3e3NgV
axkQadvTd9O1gGspzGCfVbzIaj6tS/woW2YW2dGylPEUxKi3A9bFntkkD0icQT5kHZEAxDWybPBg
XMYE/rCNsPtPIH6ISkvrB+LLb6p62f8Y48mc4npj1EHPxrno/UIh1mY01dqjMqI0qvtzVSWsxWSZ
bUjBW2wYBxjsBEgPd24CtgfChkUGkLZzDPR3Mo2/DppxDov5QhdLR+agBOyT5nPWKV7Q0zOmcXXq
I8GkSdVdj4ADmmP002UakA9ZJsaq6hLaGN3eJ519TQNJTMzYjr4+h+vazMVmVEqkCJRyutpedGNc
m7WyLdm+5fTPWtYfDYOiBasfMxKemaBvb+vY7lYi5Vej0gKszSUvE1pMm8B4ro2zY0XppsOB5NUw
y9ChE9tTKdsmUW7TqWzPM94B/nro4Xph34FwOAOLKteNxOJs5iZZPimhxgat8iozu3adpCpY9xF+
Tth+mpAIboakOIdm8CLrATCbIrYhSCvf6tRHs8ZcwFDI1xgHypoBuIjDawjQRpvIeAqnS926Xxt7
rGAItfwOW3sf1jHjENs6dX17E5OnpFzL0snmdzll6c6BsOum1WMaAMZlv3eESmqeCwLFDknnPpep
etdZzVdRSZwBxaqaw01Y2H7Vjge3UzaNqh/LLLrEZXmYEqrmknK7IIYRKWy/zYJ+3NuB9QFHqGcA
NRrmNu7J5AGfO8z3uj2fw7phuk5a3iaMLfLwDZuvi4Ena7YjIsUlIXM3zsZtYz23CvSUvHcfCldb
IQM+NjrB6Hln7cfIWIVsIftZ3wUDwdzS6q8cdoRGdb6ODhC4ScjTVwe3RtudhGVAnQIUVPbxnYNE
iBbofq4IrLSbHp/WhO9MbxAGmni7tm6oGRvS5eKNgYebfLNwVxPoSpsTIckh6ovUe56cotJYGEAV
WOU42Mmy/uyYxUfZqF9zweTFLLPHGa+IpaFjnmqYg5bB/EJtAmcFHfFV9ArkvzQ6M5fimFDV27yE
utg7tXZDHYFGzJnW6jy+92htwKdOd8YoyWwthhciSDe1qX6WsXMWWb0h7ovowYn3RZituZ0ADBST
22NIKDaVkFtAub5aNbdunB1VWkhaDOiDNWtoh0g1ttI7MvndA96UB9EHPl+ZxEjX/IT8TidGsmz9
mTi1NY3atK4V/TzxGtw6pXtnyXZH8HfsFRkJRg6TZZ2BBb2QoTMoWbbXSw+ctqbnxvWXCK2K10nm
gHaWrTVRfoTuW1w5d21n3KX8TrgH4G2HBQvWTNzmnb5RIeNyhJHfVQV45YaZ2e44JNuoJkA2TjKA
uR0yWT6dECkZpFZ4yKzwEiVYOaAdDUdT0Yo1f1C5s8hhmwqyf3Ig2ASTM0QR+NwmUi17MDD7CSlV
oPipMI4RtqUFnf2itnO85zgGP25aDHumjRLV93ocbG2GjF4Y2f2a1RWek7B9I2ESqihNTGPBFh/q
Gps5uXkkGN/31nQy1TbxFKPe9kz3rLS6AErK9pU23oTddKfKck2ZJTesJI9l7e6Q9I5ktcp+M/b6
e+qiJmwdh4Grk6znbDa8f/dM3/ZMi+rkb+up/xzKL3Uf/8lGePnQX+op9adv4Q42NhCTgop/+qWe
QsZK90JUN6GYy7Lp13pK/AQZEVOXgXGEQOtlAfTrqsmE4vPzJ1tCHP/JponC+vdS1SX0j9YGwSwC
WLSkvyun4OVNkymbG6kMNsMAvdfglheFSBDhR8VNbNrnOGKuRCTaFs2Nda0l+sE5VO+MwLxLm/69
VHGtTVO0Jz7yGDnahvitEzNkTxnmQ1ZoJ1Fo/qw7HfL96ZXS5kTCBnK0Pr/oJvuK0Dm1kbIBsHW1
k+jBkcWTxcUtgvpdmORiIxrMZLFPGSZGihKi0QBXKqLHRo4eRI6rTLNLD3d1cNULk41u5drTyRbz
1mrQC8bhg0XWs8JPtM6a8dWNu3Pgci03xgt42+3QdYcisLGhuMfBrIGYRReXARC1G69pdel1JuBl
fW4m/Yk2dhdp2sWlhFFSikUtuZSKtmZWwS02+5E6POO2vY2i/hyO0kOYisSjX0MuuzR6tU7dj7Zx
9WUsiwyH+FpUKl+CkQPJNp+g9+6VFqWu1RLOP2+VJCG2D0lK1dzLVqJqnOIbvK+71Bl9LbEfrDbf
zbK9y0X3WujTBRzgJQrq02Av65H+gGN7h7hmtXDmOCOBdUAxCdy9EZp3TsRiQCjVrnMItjAzlEO9
w+JL1hC+0i9GabKSgGwfs5zPeuemV7pTqC91wwCyEMmMo9wl7rTX1OCRAvohdA2231QPdQQ/JJ2I
cQoo9py8PsciW0jEjOgyyR1RxvYXZ3BJg6inrUBmjDiweuKsi5BbTq9MZqGWNQ3eyHUr3RErYiua
ZJdQ3+67EofBjTnPdMCJaRfGdmgKbAXsEAmwbveg6dVtWfcZi53qLi276gCwePDaOmUGyGj6PFkz
+Hd4ypAzYuwXRaj7gTEnd7qmb1MKP8RN4S4ptHZpqgX+Y232wJPPyJlp9pMKkEsn1IT6kxg8cL6W
39ryPjZlTUGOLSAwwG/Mfcc4var11Ri2DyhG1XVq9/jnM/3KAgR+T/IxWoh6XUX/pOjBW8mAXUjz
ZtatjdmklGbpyCU8eGYWvC9Vlki6J2Xk485NvwD4pNl7ZHFjO7RDVLPlVS+hq/RcypiPulWAmIQ9
Kr12UpmvIRwhyodCrqqWvSsbVKaq7GycKflKJPa0Gsw+Z6GB2yHVxXtYuS+F1B9QpLzz/Ueor1UY
lBAHfaMi1DzKkUKh9WV+mVKoD+B8qcF8WNw3Q5QfsFA8mpP86B31kLjigNmf/GKFUWgYPbKCWgMx
ry/sFupNPjAE1XvFPpdZcM+QgtxbHDFr/Zs73WT3NGrF5zGZ+S3XsMhL8a2paXwkysUmSad9oMDS
VN3Yc+fheS7xzGSEdMeq87pgHidzQHU9UbfOjg1QebD4yIw5Oi5avdY3ospmRoX6Nij1z13NDolj
ip0ThqmQ8NHejj/L0OCTK+ZbHBDSaiPccPvuVekbH+qh9KZA9esieEIhB5EFEfKs95h+0sVJRia2
2TEinpvqUzQaua8mS58K4WY1BcFnI2PzGVCd8HwZG1x2sJlZ2xOSnUq8RLyWDfI9vj3jI1f1iVos
RLdNXRCnlK1jXu9B8Nl8b8OhEu3NlNMJyhlwZG5Q5aqXqBseC1U9dKNAAKy47ipWWHQg4zulkXqP
IvloFdEnVoRgSxLbL5pkWAlzNHx7Uk4IvbVVIdMHmLEWfPbK8TOnyvr7KEqLTTO2YeQp5bJErEkw
VZIh2ptdvImywaTPJfRahWm7kgXDd1Kbys3U64c2ldcqb3HIalN2JbAs/rcW+e+QFRXKX9ci5y9f
3/+MDaLxUd/LEHhpwDcY3CBbcZdp6g9liPoTK2qkwAYVBxHx/NP3MavzE95Rl+gPZC+MQX8sQ+yf
HOY9QvAB8DYMMj3/geLF/B0omTkrVznxiDr4DsglYvkmfhzr4H6RLUV8eBOgqHBkTr5ra7ETkc3F
6LKnKsVHM3WuP8fy4KC83BZ5eM7Kfqdq2rupDIC+XAuJ59h6dKzHqXSD1ewm5wKJMLQP5VrEADq6
UsS8INkjRwahFTF8XzOu3jQ2yn4niDHC/jlow7Od5R8a2BxLJ9aCc+vFdjNfGcbwseH93hVBegzz
MfCcwIJD1Gnlpu/jC2IBQFSa/kwHUPh1bFJ5GyYWDVK2N1MXfAxj+44Cjg0DItK1KBmA5E18X6YR
o6SCXNDxEc8eSho7xE5oxfM6xU1goaXxe2jwaGgikExO+Sqs5C1ymkvO8Jxjgh+xb3ButJV2q2TQ
sbLwXFbzMSljZqqNRdZIrN9iXrlVCwMxRZwtEf7YzDPypbaI1AayO8a3oE3QCGtsP9NIMJaJLObF
avJpGOQts2LmJWpHPoEBImjM3fs2x5eXa1cIWw10L5PZlTsfo8w9RN0EMC5S4SUhFwLNuQ81dvZh
SdHBXBdCVG9BNYtbsFXs3R/atKShgmiw7kGFeJBGjAMSRlaW6fRVGSSYgiFixlKood/midgaOD7X
VWic7Bp/hSmqDaVFcJVKUa6iunM3MlSXjXPuLvHEtlf0RXQtbcY5DVlQsbMpk/pFouTbtiGr+ayK
IDOFDrdnZW4IAEHeGAySvOhg04X1vHacgsFLmL9xx5P15Tjw7RQCDLJimvwpD15AYe3tsKnOMfHq
Pp9U+ui6AXFgUFHnYR0HGlPEwm4Pul4vy83Id/Rh8pPJ4oHs2S+oLYS+BhOhF/bzG3wOBlZtz4mv
mNkqSQsXEFPp7OJEJ2lLirOTm64vJvu9qQZGRq52KUbmELiJiNc3kwnCLtbsKpSCvZ59X0TGy+CA
5o7zlmdIONmua6fMa8PxXpFBuw8i+cZMreBmYVWRhoXw1X7gMXad20DFS4OXxdyRIvMMxPlVTcut
o0yETyDuUEAS8nuGc2eOKNSi+lW65gLLchg/Fa1rXxF8dOYBtKxmcccs2KupAYBljO/MIp+mkHde
TwV8BDLDVxJrjDTAZzlj/jwuQK1AUFmy4YZSbMnHacFu2QuAC+YDAniQXORQSy+F0iUWXNcItws4
GmYXRmtIXYB6sS2tV/UC+pJW8Qnm9k1jMy5cUGB9WXzEHc25Ee0LXRwHQcg97DCCMLY6LLFIgYax
wMVKmbAXz3pCzRvzTi2hE2t83k0NlUwseDIHTln5DViW8o274a6FZKZCNLMhm3H5LUeTuS4XlQze
3C+6SjFVLwqaeupgJX5T1SCvEVM4BT1KtK57gok3cHlGlQlNUGnKe2Ps28dymsbnKdABs9gqyrad
EQvrJUxL69ChdwhvM5D2Yt/VivkShLZOrIUVp9sc8ZpPkMeTFpkEiU86j0YQZvD+zGRnlqQgU2pl
3shzt7aqiSQKKDE96HDy/XRUSfaO9fUSGF6rO/oqqLxlcBXzfDMVPbI9QEGeEua3GanAD73GCZdX
McdTClG+D5OPsHGuDUPyHckVG4l8eJfRunkOcxzD7b7mcnisrXLe8BZvRYAk1yW7v1bnW9eMj31K
ZnJVqV+0BbRUFiPavfxOQwbgdV3QLnM2hGVtcCNTVfdklzKyDpMJ4cGopfui1AGzGMUXpxyitaH3
jUdW6ilOk1ddjJwG1IrogAqY7qtZgG4xTd7DbCD9REk/UTGh7/LhvAsr84uZwSTm9UHchJoVo/1I
PmwjOsx5tw8K5ldOFq+1nMgk1uDDOhtqY+Xk6JlmgzSYgNOvyfNwUxjwbyS+btzZMYJlRM3SzLfG
oGpePgKU0tEaxInl+lnjnIKqvi1b1CAYSmgbhPKpjvSLCSXGt0JlQ1x567lOQf5BeVvm9UXBRY+c
j/26GN6S0Y6245Qdx2oqIXEiC6jmJ6smjRpLp7TK3NM7+1AFVKZ9Um1ioA9VK16IqoItqZahZysl
FBusfQU+CI8IekpDBmKWc++4DCkZZb7b9HTY2jhsDcalSc74LXdSeJZy2jR2czBRKXp9zPoBRcfe
hae6AhOCBh0UiRLfk/vFsAX2S81/R6rUUCqPqcGfWkW+0vRlx3EzbHItfE9cd2eN5b5U+NegEh9o
T75WrXbM9Wj772zr22xrSdf863ry9CX9E/308jHfq0kiTwwTfK6pCQLiVIPx1C9DLeMnbA8s30lE
QCW8bCW/V5Mu4y4wOg7eVEJPvu3zvw+1xE82/jE8CWwPqSr/WTVJcfr7qdZS4bJ1ZLilYhTHz/2b
apI8OgT1dWHdpEOGmTXM6+B+Qj5N7rHOQTguMRJyCZQgSR45X5btzQYJ6oJU2qVBXu7zJYpi/JZK
kWRCpX2hdTIXX6vBWyAWp+u4eF65Jw/K4oJ1Fj/slCHkzUMGvl3KAEm8W8kAPkCi+Ay+GWptrLXF
NB5xDW8UMSxBQkl/1w3tnmLAfskml1yIJAJCprE956icjWo76uFdzfjBV20503Ymg1fkza6bGUS1
7rsT9NfYEDdQlvaY0e9jmi+lbD8roaiOBQzzOnL3dHHxHogc67LQE0p0n+vWAzpGcgwE2gEzNSrM
VeEzdeneENU6UYNnw82+AHnRVgjCkFh2w7hto5jv2YT3bhgDcQ8VG4nSPdbLfiJtdMLpskuN8509
RXiuc/NLE3U3WKc/uiWy3+1Kby5Hdi5BdeBwcDxirnbo44D3MglHX79yWXysUz15IN8FZawjkQYq
n0UTXeVoBl7UJfs+5C6uieBAMYBkQlCaVNxNXjKWOwxtz4BTt9i2yGwymnkTSlr8sIre2hzoh6w0
ywexurWB02QMrbZsXC5FZer+2GVkd8P+rYLIXBvNR29LdWentrtm30Vik8UGzdE+lAnFJZSdmzrr
6xVEK/JNnPqTaIRyUmCMpFZzzcJ25y6Cc2T7XtJVjmeFBSwYNZQvYIoPIjS/OpjdFuqW62nl/Gw2
1cEKzZdJna81p/vQoJqsgsUzHn1Q6kGoGFN3XbXJJXfkLoVwv2pMjVDifnzH/VwuALUQsV+4SfT+
TRIftcJYuSEU402yyccL3FTNRkcF/sqcVD9hZ8Teni+xd53QuNbGJQyPn9/e5XJJyAusmLS8gSEi
AQLCURpyYzT+UrpTuOS78MHp8hufSehboTTzcRYwiVMgYq+CFC0y05xoJwf1ZuZluBKO5WyRNI/X
CoHwClnLwTASA/u3i3Kdj5njSrlJwpC7clLLNYJCkgatGoJOqklS/Ix42ufsmVZguOKDEBPBYoM1
rss47pAjjgQWDcMGLhgK8/CmHrhmOaTORs8mknSQK0GW9A5ZcqltRhK69oQrVN5jCEifC43lsF7n
7a2hTb4WNGTIdDyQjW2k60KQOW92iFoKdvIGHk/40oLnRodn6BQqos6xHy5AVMn1IZjeUeQ51QdG
vYW+IgSIGzVDoKfH7WvTK1vNAJI9GM2+sFkfgkA8KPTWBzjXAlAbGzBdFM2Ljh1rZRVipG5C9m8u
opoicjI/ZsG/Ac6UezNZAm+1pn9O8jxgj8f/FlG42BYzu8k0hSpU5kTKtEqiYnWqS+7o5e8b2DCR
zOBYk12G3vAS80Z5I8PixG2u0chPrWLc0MLyqEnoLznMhdLNQGLNDQ5JF6jFMjg2BDPtjlKxwi3Z
JZHc5AUEASuGuZYArS2FdRRhH67GCtW5lT6rQ7PtlfZ+TocBAi3ccVCJ60JLz23fkAiKLMGLHRYM
VbWz+/YDXG3kW1wefqVQcWm4S3TwgvmnvE2ykxsNtwW/UUCQsbvOS2ZiISUpZoMnZFKb0ayOQGvf
p1Jn+Vvmhy4d8UJq09axzft/K4SfKwSWUX9dIZy/NH+291rEOL8pEViIIJ6z/ht99mOJoGPuRmHE
oY7k79cSgb0XnD1DNVHc/bew+F4iOD8tFkkT2RzuJhP/1T8ZOHHf/6FEEDi1bFNHeuguxLXflghA
rC3bVtT5BirrY20wEcnIJlxgU9Bh53wjanurUWZaEkD75D5CoOeM6Sf6ANf+lAjzbJTdPk+SdT2I
oPUdJ+dgjMljeEAyjhNdV6+hUjT7jlbJ9TFlKa86TyNRB5oxREcgQWS6WIUasNSGjwqpM17nfYLD
h5PGhzV3P6YkJ4pB3rgWNnXINn4VQS2vp/KTlMpjaRUPBkOTlarzKqoNEwhF3kSxOGiO4cuofWtm
1LNpgdsgUe+qRL+lcXjUh7bwo457PejS81A1KZOF4kMiYyL7VdsEJielDhSc6dd00+FVqjPGCRZb
PZ+A1K8AHme/UwMajkmsQ7WDy11GsOkJDsB5pJhyP05IXjiTjxqrI4NheK/hFuiX4I7I4U6JUD/p
w7EZqqdIdZ8V0ylxbxjXlCQbADmPaYwtuknmB5J0NkOvVRctGOkmyw9d1Xy4tncuUmTO0fxUhfle
y+Vj2vZHpRw+1IahlapItDOGwew95sBRlLQj5SXd1a1SeUZke4os2fvoau9ZVSRudIlmZZZ16g0d
mLqoHL1uCfstE9ByuSqVNSQw9kAQfVBcOW+wUQ+FQRlBEpW6aifNK4ROT2Ps+r65CTJyTQwuQnIA
mrpakdHY59vOgnCH8jjfE3Thta117iaoaEbJojQqho2pBq8pGw8CX5SV2TMaKqYvoQ3cls/plZlb
+OXE3D/iQogM5YuKGIsUy47ui9wSjUJQpqk4U4CzHlLbfqP3kX3KRgMnSNHcAyE2L6QNcbATm8Pu
x038uel3rElm3Ak4YbLBIf4q17aFEnewEWv7gvibtsvcEwbyqFoWLkP9cRyQWoRRq/oQlbQL91ly
qoqSARCGS3LdCGAPhkTBZJWYnoExA8m/pl6qyWD3BfZsF6fD1jWhdo3hIce6gsRF/yIM26KEkPEN
UYY4wAg5kAIZW4dAS5NxhvS9eJUthLEh/lyGRDq7HVTziL9nwjL5xjTtFdFEP/d/f0nHW86AX8W/
P9swkRmiWkRPjEP7d0PpyphIcFZc7SbLH1Lzq2X5Y77/4dy8/fmT/Ye8otsSXHD7f//Pn3wJiIwo
nFXKEVX/PfRRVuHUEg1q3qTta5/eyupT4f4MZ/hX8aqhpfjrO+pUtv/5f0X4nr233Eq/MwMvH/r9
piJVGBIRWSgG7E2uHv7p+01FGgoGXGHBVLdRri4ZKt+bWfMn/GtQNAUXEhXfwjT7flPp3+z8Nm+E
Tutp8dj8g9XIbx+QpSUWqrpchTyBtG/q7+6pRDjUdoWbXPp8PVsO8Xlbs3764RfzJw+hLvhBfnjS
f/4qpI1yq0IQouLkd/Dj+qUO6IGt2UouXYmFxC9J32XMRMa5Fxh6uk5wSxJgoWsnJ8Tb0VdR4mVz
cBzo9e7UKrpmnBS6FcU4PFQaVU2xPE2whweeDmIqBHSg5/t+QLM2kPjVayf0addW6ud6Lo9TY9yQ
RHBQE+L88oHA70StXbZAbIeD3pJ0ye5XbYpGEqFAoyZdOlFE9h+oABv0ljaJ7A3R3i6Nh1xNjoK2
a6IjPIzKDARpnBy/Uxh6Jy4ouKmfS4jXXaF6jW4+Bihztk5mGS96rhCtxYpsG6tpBJC0r6sM0R6Z
YSXuPl+KlLz40K2CZA/6uXO4fqDAosygruxJq5qweLErNypDPM56bfsZGOZto6CZ2WrlOM01uVFo
gWqvt/JOBshzkSCLWlfOfP6KFQ1KQ3AWx3KZf1La+iQhNhiZiWdoHEGqWGamh55YEnHL12uNF0uG
TnskQJThZIhFt3Qaa7qNNPRwdSjdo9vYzmGgDn9e8mufcIeR9pARR212BVNsQRhN46F5JKJSRAMt
tDq27kOJGGFlk3WwVnrV9PVqipjLM96uw1DuB90aAJL2zrrjd34qgrn90jLVmCSXipwE/qc63ivE
gK3Jx8CoAP78bh5oMFSZrYl4du+IaiHRLYliJA8u8T5VToROavpDCbWjjp9Ebg0n/nSDb9eswFBX
6suyXWW8MsUHewYA7dCfbQFAcvG63GstBF+WzXW7tY1hN5qFg2Zab6/gYrW1UPJzXGTnoWkBczXx
1SytvYh6aF12tuPYTv3QUG9bd7zvNGd4CDEzfZSgrdsk9e1xsj9KPMdW3vppUGufVKXfsICAaF6m
a1dhbyRojybaxNauvrZt9w4L610m8hE/hN8Yw8Gd8g0HyMox5605qWcpBp+B9464j9PcIClshlfV
6pmXKJts1Jg9gCju5Rv596zM3gK8/f5oZ8Z2ckK+CWt4tmz8V7Ntru02bTH70v0q43zScx1xj362
qx6TbPpc8edDIUkDJZx1MNibUBe7Xp1ZHbTrMA90puv1yghCyrG2UJHEk9qvkUBmOc4tP+Od1QMa
neI5ZDBCvWcOanxmdZASIaRfu6xoz2MNkVOfeJjx6WY1Nk92WzxluTy6vEQqmFMdjPAkxEkg/ML1
+KTMHXJ4577Xw2tRVyeH/3/Q3VPeD9fIZSyDUErH4boOQ1LPZAo4kaLa6xui1sJGvaRK+lKm2gtx
b4e4TdEUi0PSa1e04qi7qZLgPrPQwO9dy+PsODtYbTTtrLdqcLW9a/luwwggYr8h5/EgylnCEy6K
QydKlhCIbJUItacMsRpbk5Fua7fawihW7map1Ju/P3nhQ/7x5OXWtyg2GFYa/OdvT95Iaizk7Izt
cZ3q6yFz5drBbsBmdchOXW6MvjMEm7CM8j1qsHetqttrXafqJ4EnfMUm6K7HjkoqgJ+6zpM6dds6
sj+KNAlZZkIxDZNAXTHK2pQzz3SG57MMrNYbE1QhZk3ilSO63VCWr40z916ctI86e6w1VgOqStZ8
ZMd5Y+21aL0q8ho62Kda0mx1c7jN9HLb5s5XmeX3vZMcetbic5sd6h6AQlWeRKu7226Upd/KeKdP
keW1aD7sQCk3EcnIIfeS36rtnSlJc68i+6BGLu81uS2noNM6ZlbTQxKjKHFtZm261G/MGPFZbS/K
m3hpXuZL1Cb7dLS2FqHxmD1rdjDoExHmUrmLcEM00toKqxPLWyLWCxIpM5yBfb7jXiOysCpn7rWW
DVBzkybZHZwW5j2k5fk2ZbBnVMTCNs1tbLQDWQxMZxGgPZjSrBH2xsRkOMeYWEzmWRWxzfMmTeuv
aa1utSon50t7TnLp54aNjcPcjZxDRlt+LV3npNbqQMGsfA3gOq8qvUZzTLBWmuXanoB3zrLuFDv2
Z13NiEJk3SKYU8lc17yEmEByz8IbY7Y0/5vzlMhMsdPzpH8sDWyPWLAalBH/s1LFUvf7EsEGoCAc
fQEwmIuQ9ccSgQnQSM5ZHl8Ccq6N5IASYvX3LwMl0w9fgU9JMKTG0J70pMXd961l/4G3ZdhzAfwh
DC+ZnUAmv2HNtourO9JUeRKyxXy7cZP1339N9g//46suP/cPX7Wv0q4yiQo5qxLSJBoatnLFPbfi
59Ck9ojw03mdsJ7swNgPfUGPOCEKyQrSCVQ9Lr2imT+XinOKO1P10NNvMnfUXkVkOn6uJg82ejgf
TOrRycxnG2nkQcsMu+dpKsp1PzvFWlQKI4dqEJ5TSLnvJ8d4LYuk2xDBaWD4jt8yntV1rdqRzwks
UarYqofm9L43s5mpKtvWcND3eWjcRrL7ygRux6X0qW2ajd2O7Uq3kp2BIJ6pPhVKNhbFFqGY6tW5
zcButAgXjac7PSr8RSSD4gzMguUSdtIOH3U76qu2iveNqdCymZ+mOXky1fRgIcZkt0uxFgcGmWxd
XPAQE6k5J0fG8H4hA91H4wZNN0g5ZdWnYdl3x0l+FtG0LRpo68HME4w2sgsh3SMqLJNc4BtJhN9k
wblCYL/oXbVyGYOE0z0JUBRwJEf3HVGZhoHwbHa6rVLFxNr35Rc7RKar5teaYCoi1bpVqx0GayDy
1DJ2DpNcvyLntpDRjgwVHFVNf6ls7sgEQ3zTmO+iZiAQxAKVgbkNK/PkjP+LzfXNnvZDS/mHZ3wp
xH942kYk4kTx87QRIXAbXpQNgtvHcTvvrZ19Elw93ps+rpgIn4uX8X8A7b6x3P/4xbGLoh/XiRlb
XsAfvjjJVKLA8a+c0W+uipPuVRvUn9pReXI26lp9uFG809OwJqR7+ML/yS7ypK4O8Sagzf+feL3f
Xnw/v+0GmjSL3p42yvqd8lyqIwsFLYkukXoLDGoVq0/NsPv7t/u3Z9YfvwbLyB9/4LnJSUaNMB2V
9XvY/H/2zqM5bqv/0t9l9nAhh6qZ/6LR6EQ2m80gktqgSIpEThcZn36eS9uSLDmMq2bp1ftazN0A
7i+c85ydN5///vv/6d9A4gw+ZPPD3PjH719M9sLGo+HwVq4bj/vBoub89Qn1X/su3/G/bt/v3uLn
4vnnzl1+1e+dO15Vw+QKwnnqgs37Q3oaa2jbVnVOLFZShsmV8Vvnbqq/wODjfOGMgYEqB8lfO3eP
zt0xHVbGOpkZJnvlf9O5y6HCdwcaokZprNDkz6J1Z8H9w81e5kguc36N0+DFWbtODeOemgd5eakc
+jyCbIesx0Lgxsis30/jrK0YEIPtGbxDZ2W2X3Mrb6J0vnOVCv9PWsDG1gCJwswJ0r5+pfQGDrZ0
/YSxyK56ZW0o/acWusHNjMlgaws7vIzNGc8jXbDd6IZfO4M4WrrZQ+jQiVd2tBf0M+9q2Hc7Yi3w
KaQaNVqFnDCZeqBV09lBHiwfqjmuypEVYA4JSRB+tGIoyeoFUMNq9moPq1kRuFO2SaNe2WmpEwZp
Ibk8ffJFw6CA8nxAL96V6bCz4QxKH15Iw0yafRaW2inUSeiY+pJ/49DdOQj22exO5yXJqbsclUW0
x8p9YQ21EqSorT1jPOYOrtwqPkylvutE0fDt9ecuN5oLO2IaXXWDtRrC9Kai5kUcczEoKvEntiGF
cA2IlFhLaLZE4PZN7IvYxhDsKpKlcesJsatj1d1bzXJNMtm8NmzvAUflayWqqwbxC9aU+KC51rXV
hXfRIDUBo1gPuDxEbe7V3jtaHL9rvVVs7AOmg1WxekzH/IBT4mlKO0T1nvI+RS6hBWgWk3z4bJXe
W106zV4z8YSlZecyPuZlGXKewEYcxZdJgl8ka9oEaHV17c7pJ0yh5McVxDznpTUFCrFILMXKZbW0
2OiH9sm1J78CmxFkEWCcOUpwCucN1SI2mELFlTi5NstRdbqreOvzXB8MPxlIlioXbfDtnF16ZPbX
dQvkR3XGNBBL/2rW3eMAxKuISnMTGtqXOsygKAFww06jr0L2mtg/nWFjT0boL0Be+fHI2HuVqYAa
mnjjEq2x1tRee4XhzTZyi9Q3EPBhqHPfZxTpJjNRo5Z6JzwygZa24Ejs9h1JoM1vi1KSe7/26zLL
N8lCWEccsn8VHuEqKFyxy1QEDlbxsg61xmfBY6xgxm1ZqHrr2J1OxhDudKuEUFee7MzdK0qy6ami
inU4Hj2+Z2t2t3UzojWcneussB8crzihIcmxnqbzOkyJE9VQpTbJW1t2j04eq4zooVij6/WCFgaM
X3mdx6ij3FRZfdT1ftuCNWqjfp81Ec1dXUBTav1En6/1fNiZPbQmZ5RdxjSdilxHKaDmT3EL2dau
Ka/U0dkDcr/UveIq6Wr4Cgb2Y8ZouJwznEI2LVAUa6SsRlpC/l1yqfcJrLL6KQdni1SyheOihfcI
WR4QDBPqmJlbovK89ZRqNnB901qLkjjDOHLQz/XdNjJhhnv2MrEyKW5GO3zAQUR8Xo09YiGocOn4
uqjISSzo8nWdZvtwEW9NaZgBSylpRieLEeiaH89M6TxeVlYs8YMeGuduhAtkJP0ckApirrMB6QG9
07uleRdmgjgvjh1GPjhbc9AXapE8LbZxF6L99gVKWL/pIPWRfHZDz/BEDi7Sa6M86wpLEm1x322v
33aLMq+a0g2Bww1ngc04LPW7IW6B1mMkc2r3AKkOyKFTnPOGUYeTKId4zO8TqyvXajcd7NkNhojE
FDgDlp82ee7b5ZjBYmYRuKjxcSlHBdRTNQFQyt+jJbxr0CWvZk1GgiVxvZ3i9IuoiT6oNEw47ris
Tah2fgn072KMIDd1qJeRykarpQGNSgcXKAP2ocyLbicjCXpd2cEjvvC8giVRLQ6MEDDooWr1m6aY
kULbPTruytqgK30shIpiWX1uoHJsJz3ufXccrtg/3TO3u1zAJa/YnAfmYG5EGgUY1C6SWuzSNux2
CxcRWgDQN5apbiEXvi5afbQintmTtHelMdAm8caektVV87xMUeAk3J3t3PumoT0hxYH2BX9+wqEe
ZurO6XiaRvQxAxcBSgme3DWtBlIHlpK5T17lXd0nx8W03rKOB2Vi2BUTEGfHzT2RuJAcNWMEkdp6
J+EtETOH8VPOdcsQ00RiNIqYwZHCKkuchcWez3aWakuT8czZKVCGxD31NPZYlaSOkwuomUBRfMmi
FY9Jpt1aJVF4pCfda073lGZxuAKdxdiv49LA68J+dALxpbsvRuhOW4G8kd/vBfhUtSoZFbXhglI/
1QZ6GGO5YuJikaDVXHPmHUeTj41AVzoPZl+H8siolQrnU/+F/FBCKpzmi4G7Mk29Fu9wiLuZ7Dmt
tvuVSQTABpTmsI6mzlyFKVN07rLGD10gNI7KXVbTaikJMLo+2s0WLC2H5yRpd6tRKW/nCt1yoqSf
M6d+lWlZRlwwBQ+zLXUE70E43GoQoSASNM5hUZx93UnbVQlMIqc0gk+xzOg9tfaEA5KxcvGeMQXy
6WJPkxOCe1KiS9VICt/r6neogFFAUu3TKG2QSsPUA8s/AYeWtaoj5VFt+vAs3PLI07z1wqNJYGec
mJbCRDl29+pHoCcDO5nuKRKVZhKy3bAEeFaJAP0oH/+row2kDX9dR8vUzRUz5+5PMgHkV36tpXEB
eTasWEeH///hOP59C0aZjeKCMppOB06k962WNuxfcAfpDDA1+C+Mb76V0rYk7MqJjq2h2ND+Xeom
y64fS2lPtzTsRlSmkrz74/Sp7QlfJL5KuXIsyoS82g9JCMkzt5FsaF2F+mDeKVgo/DQuzpIg4wO3
rlcj65tx7qp1nnZE+iKXrkFW+7QOwOfGOVw3DcR0sPEvYzF9Qgf+uVabI4S+PY5B95KaVwQmYuyw
pnTHtFpoRQqpLL+Z9LSBhGC82pRMg2NzGxvq2UN5sBrd0EK9IBjGOu8TdMhNOtYILhE1aqxFlmxp
Vr3iLAEEukezZ1ifaEA4MriUaVTX6wbmfAnqdQVpbjtmCkmToYF8vceLsDhYXTluOC1Gi/1COJmf
63xQ5nM6Du6wySdt5MSs2q6665tUrWnvNTNae8jOqmr0NrUGrHpo5yLQVQQZzWwEg4VCJFPS6z4l
q97jyVxU4EZ7Nf3SOc5byP2NVYoFhtFd5cO93jLUD+fRw3GFVQgpxa0zaVBqC/1zmrdE/sJ1DNjA
4buthgs7bNtDo5YvjR6nAh1MDOsJBTmADrsw9XPzQdOJHXbrQHbUGOmc0+NQmTJ1PQHiKc3qE10E
FOFlqi4hz82+4nhB6ZCpGdXAjqurVmu3hZCDN+cwWeEj+CCc7BkIoAoPUV+a6l7r0VrE/N3o1iAG
hTa1oSphCPw+D27UJYchcaKg5uVbuVoIDgXD5il01bvczdGd1+Ao0KxfmEXSZatubBIUJwBEA5Hb
Ng3b6B4XfT6DfchWKpQvLFiVG4havY2G+Rw2osQGapyayNsok44QxT6TD7AP5fxuQIWhLu166KK7
zi1Ok0eA8aTLUGkMwIyt27FexSmBTGaRPhB5AJgQPT/ZS4UCfsgToDT66I4cpUsxJrfMPB6TTttp
RNXgOI5r325QyFGtwUHHeaFqOB0mZ76Eqqle8JbjCe3TtxTP9iD43ZQ5sgLKEAZSOuKMxdkyav6M
ICgIpVip6/PjEoU3hdXU+xm39KWhmLdJP76UCljD9k70FMVe452jOF3XLVaBejkIW8Nzl47rtEq3
bSJ2yQx5kXn1kRXO56KPMFQ49qbuUJsaTb1GyEp+H7BTrtDx2Qs1TnHmqIu9XI3qcKItwzI+XlSt
sq4QbequRaeg2ms1TG+XKD6N7DsbMUry76e8UbVA1edNwxntJ5lyFareNi1K9C30V/SaLwP9SEDO
3KUXzQhnh/wiz/k0KtGx67vVKIo9esbLoSsv+MwF2JRhHJzK6mDDjLm+0RL8R8yCyuImVtnrMb2O
ntJED0orpVe21PdFaXdZMjyxZtyM3hCQsbhNDfdzx+FY9GRZV+SCGVqPmwUbWFQ/zo6DN7pgZDqa
TAb1/sbVGjwXEzNJIYzHpBf7ka18rgwhKmjzbKTRnqHGWS+xQ8/LcLSGMfYnq6ToFe6epdcuzpxt
4mYPQE4uSZK6d0r2G2SY33SxXPTmx7hsLjK1f8gK81YkvBdFPbyaBbeaKljd6yfq8X4fzRo5v8mw
y3Wml55+w0VyqHq6w1h0pzYkz9FBEN73w2OhNxjCzHwztOp1xeoFNc0FW3Y6g1HZs0jZqUKGWjT7
Yhl3IwZtb8kuJzhdXb6cuwHhlgNDwDDExVRzybp0+EWb3+NI+5xBDjcba98xum3N+hBXNpv5+NPQ
JrcW82+UDvnKskNw6fGebIOXTK3RirFVXVD4h7q4hHZ3IL+MO0wbj3GVXbBd+jzlxq1HMhn7JsbK
RB35qa1uTfBhZV2fLBRUieO+/1ebfMhIZf7eX9cmxzfx+vbl5xmf/Krv6hJgQWhp2I1KriMf+q4u
ARBimx7lwG/Qud/VOUh6fuDxf53xYVw2UdPgDjHMX6uZfzHjw+38Y2EC8c7Wkb4jENPREf0wxjYU
fdS6JstOmorbH9JVUqtMTwpTeUBg4TCKsQXMJw7j5qw5TDAQwjCX3k37PQ+rbSkdq6xY0s79FM8E
XNTJcKcZpiCElLL4MZQmNrvDPTBzPfvFh8Mtw+KZFszrdIu1GD64KptPkwLg2HP059ChVQXreFHj
nStteK2kD36aUJXU0l7Xu9MnnMZfbHx3tVHxDYyl3kWThdLSrXZm65073HpDxSlepAV5fRpWvnrs
svsQdx+pQIvfqTNL/Ek7uTgAx4I8H1uaAiNpD5yEuxts6o0iG3ehrT+Z0ko4VvDRBmkvrKpmCBD4
pbvaKJCEoG3xrSrELdjEjz1EtHVp1XQrktu21Kq2oVHKKZgMsOWj3cU7pIyRyggCletKR2/PkEDJ
d3GsAlgxU2tLmCG0qoaUQ6dzJiZghJxUDrpEemLrlFDO+oxHtKt5Ng/NZOrXcVlVeAdJO7Ab9kmC
JfgmrgotJo2cH62n7kPoNd0OTgMmvViwnh00GtQpC9tDqonyzPDUuHBrAbe28GZSXlutbJKD6ZAl
vIdooWQbndnOMDuZ9qI1hrnuexrXJk2P8dCTxufiP5cVCl4EOsBlo1rF2USTP9IlV5h0RPaG2f0B
LshlpeKCBo6+zTE5+uTGHIWnHClGuJAKisOa4jQuD7UunnQlu0xHdEWNToBCFI9BJ7OeaVKhJl+V
xYRtM+6cDGv4zGGFp8fAX2LF6XIEy8q4glytTDICDXMI9xnYwL4IUTpJkuAEoigoluh1+aAMqowf
a0kerLAosD2ERoil6tX64BOyL/QnHWahEU9BLyGGEhkjqYY8ga01Gt0Uvgj+ClxSV52kILqSh4hv
i1EhiMQp4TNTvm8MPNGZ69jPVAkHsLzMZ9YNVVrSFlWwi47kL2YCU/VcI41R1e7CTiYiMy1MqIms
TlXKVFvWqyGF6yhZqp6sZcOydchXYNYoK11osB5Ge+etCKMvVHIMKxSMprI+TmWhLCvmedADTdbQ
vaymK1lXl7LCdrn0VVlzl6roMH5RIlElfwQPJGAms0Mpi/P/zo+P88NiOfPX5wdsSRrb+ecDRH7Z
1wNE/wX1L6+4lNiSf4QX8OsBYvxi69igZHuq07v+viFirSQZpo4GXlq6Wmh4f9d2er/w7+SLQf+x
XFX9d0mx7Ch+PD1MxplISHWP/+FX4Sd9v6CkYJzspmmL61KrTSK+9J5p29wnKpMUYx4JUJqmYXDl
POoV6uTnRU53eJTfIqyGx+C8zBR5Qc0gSHDvNXIyhFYhX/emc4Ukq4HMwvyoqinuQzlTsuR0SZdz
JirsK0VOnuD+dH4aVqcW7YAip1OWN34h6qgKYijBvZxggc24mORMywCpofD8EGplrSs594o7fPCd
nIU5swDRg+mIfcrLgIZ8KbJ5qzJAUxikxWOn4e2Kdg65fiXkS1xKjNysZnwC5nCfdzMiAqZyhtU9
RowBtngVXPxSjO4icvICSLAd+BsGexoTPkeO+lo59HOZ/iWJfqpMBvPxot/S3zSruE/Ok070mmq9
mR22ajE+t9jITQRlvlAgJbv6hfA6PtvbFap47I1kX009GJwseqxa+9FLX4wR+qFpvLae9yr09iSW
5MGqptfMdAkUNWCW4yG5JkdUp8Qfd0UMjiDtyIxYlB5TU5bctolx1dfK1QIJ1cdMoK9mPceT0bjF
PtXaZmVpMntbNa8Vi4idRm7FLAWPRARTII3taJsqvb1pIkpzoi0Ct53u7VY5ILBAGep06CoA76vs
JeqZuM05wwMq6lLfzt24dYEtrkXSs+2Zc3ebObFYp2oxBPYQToHV6ypMLD7qkIYqovFT6DqbPOmv
bbU/qTjsfUXxmq0wS57duruKsmyvk+m+AlYAB2FcZhYSYl8oiEiFjs6fGy30R1p+AC9XMW8Fn0m6
hCJuAC9dj5G6j1KH1Fk93ZppdV905s6TTsNsse+7tOHJHH1qq+6Nra7iZwvnmdWTczTgVdu4/fJI
NES9jvT6EDr1g9L37Tpvx3uFOaTPl+bADZUmMIbsdlZ0+nzdRtaoVe8FOxc/qeqjOXunzKSh6uZJ
X7nVCP9hGIPJnaoTqImIe0W4NKgJ84HM29H5AZU1xPTchTA11LYGcCk4QYwsfeizNTb/e6MDgO96
CWpYDTy3OTBv7ygheMSTgDDSck2aHvoGjfZcj0eT1Ih1kSZAsSHSzAMT9blsFlAg7HNKIgBmBQp3
QrfjT9GyZ4P1nE2NKq+1W9M4KDOz2KbgMBFofduAdJgUCrkTuMxIgPu944YGf+uY72JRn7zWu4RF
flXP860OJ31FREwc2EQ3rOaCoJC+fc5RGMGdQAm8HMzekxEzKDi59lK2SjLZfn7XW/E5UvqLserO
ea0cMduTAlySYZ1NR8MDVKupYBI4EKlh+0xd9bjzUN907+TBsiHG6bnOJ+cZUdpnJPi4ZYhQWekV
66hpdO1DJ43VraW4MJjNR566FGEzI/4ht1873OcrpCzJmgfyRauICbxt32/iZTiQKjH4uohu7Hh6
ThMrWtVmRifZtMQ7R1hUWhOzd0H0QJxQr8bTbUfmlD+lZZCjJF9DhKM7Ly3BTVdxS7j2MafwC6op
vKpyA6BrH06+o0S31CSnqvZuERrvjAlFvF2SJ93P+Q1uxaso0poN0QX5I0yshLER0mUc8EBA5Y1t
pQ94P4iYGEZyurwRpKAev0xlZa96E3TEWB54oN/MZjXsGkiM6Jz7c82+ZJVgNhnoiLZEgMAkag0M
oXZ1F7rlIQ5JwiHwG2ricE4ss6RCLZjQGaD+KqEFZZTztcNwa9kIA8mtfgF/TFJFLcKVXuqxb6eN
4keL8g6Tn/MiFsnW9SAkzdWLbXBvNzkluVkQW5KTA0GO0VJeIchnb141j5oL971zATgW80Rutj5S
dyJtXVc8s626VIHeqPiHuuql95KHquZCGsNyM3cRLBbe8hXHnfBHA2tvhyN6Q5waryk5LnuGTjuP
jSN+XrYRWNso+83hPp6z88iZSP0F/y2Bmb+yHMzOuTJzubmyp0r5N+Z0yWWtLIDzzPQ4K4B7WRuT
K6XiOFcyeIndvBXl/MWqrGsGrW8TINlVa6aPcm/KjAcAm92Xl5iBGurI5cj5P60cp9ypmrbv8lr4
5qz3Qeaq1SOWuHzfLs29oXPj56XxoIDv65Luy9jkGy9M7zns1Qvs1qxPXW/fJtHJSZo7phs7Q2nH
FQMS1LiSWz2btEkWvmfCA8kwM/F4sc1aM41/TfDRrQsBgIMIWcAolXujhUUT4N2GsrZMZVDXlMhD
3od7VczPtsLF0MWDjhDVvZtKlrhuqBySKHrGl4sKUUE/l9YgEiu+3qmvYb5oK2LbogD7+GvNDBDL
VfJkqsg20sa+Vnv7U2Xa+HLzabdExnuqsok3BuY/ui5i1B5lvLGdvCcKt2XyWc1cfinKXS2ZvVWz
aE92i12AQKRgqXljhcJTO56NaJ060DttJX1WS/0I0C72uyREtD3UKGpzXupOIFKEctgbxL73arZL
I4BViYtFTu1Yrja6JJygCw1sz/0SR2SZNW4kNlDCVeIIhmFNmhl78UU+Ve0HtMAaKfOh5ReNcoc9
/h6hAIu8BLfymF/2rcbqqnc7YsiqZq2b8W1nw3oM8w7gQE9Ygurdm2V/HeU0C5ChpR1RgcFocz8Z
Q7eZIozK4Lr3CpUTN2Sq+qPevmBPvJ5gCka8WhwhhCSwxEcNkbyNkJSV2n63VeVOMVwOgQJ4cuZl
746EMuu5/jrM4sLjJAdVYb22g7NtXLiDZaQd4MyUTMoG05/s7CEqCjiBk9B9t4eDgCchCl/omy4p
DEyQfiSBa316qCUPte7T9ArZ6p6ZNB9zs6dIsRD3jemdxqJuVffKjYPDldFjtTe98WGi5kJasdTA
YqoyaFBn+7OFt7vIGv4cE7aqOwqwRpV54TYoUtwZH4vT4Egdx3dbR5vCNYP/OjM26tA/1oPkFAgN
SEJJJu9sHA07QWpikbbWZ/WtnfAeWY6GBTaeeE6L8jiZAuSgDUDK7V6RVLc+89aHZvoAGKj3S54c
pjm/002lWI8tj1RHfRkGJvEYpwyoE/BSCY28rFuxKdXJXalzy56jViuu2vTNozbGVAnNcirflkIA
ZUXJE4llr+vlI3k8a5hk9/UAgrqlynMyHn1xw5UZe6NDnEDCL9k7W3US76QHNzyDpyejoOYbUo2I
v/Sxd8p9GIZrwInPoZu9pF2PX7E5sErQ1lExbcCIclIazW5uHHp3LZgsbE5hU92y+t7Vprf3LGXd
qOl1x8ZiTrR5NRtxEId5AMfzUkzVvk9qP7fUQT+0qUb8TeTo2TkvF/txBrjqXjUK27NzbnX1gJMJ
RrVVK4f/etBfZ5h/u189oth//bkD1b9brcJelJG7sL8ZD9I38qGvHaiGGNHBd8ha87ccm29NKMZQ
ZPakXBBC891q1dR+AbiIE8EglcYlVeNfOeElkOcHkaIcXtqeprHHxeT4g0ixqRqzA4wWXzd9arm7
JhtBN1nOSdOTmJFLpMjoWzJiRpsbtF5UD6eaY4aMbijvN/Cjte52tLXIewdXuhNKaYTPeHNSNRjH
MlcuCO8h4EaLU84Gig4lujazkuQzgHIxz0CtRxlIuKbFbezniAQw60Db4ykzzBzMKONo0OeVmHvY
6ClhE/HOgYEG6JUEj5Ux4XnbNZHwUqA4HLZ2M+biFIFpY8lKB+0EEec1QDuX5dDS9cqbhXV4+9+l
/3HpG0y7/3r8IqUFG/Fcvibt65+pC/ji74YwuquhksbKSq8hZfFfbwHjF405ClEzX0W836b4Hg5a
k8v861f9PodhwM/1TwmmIVVguvOvPLZyyvJNF49Olx/PjMj6gEappipn/N/p4i1cCm4aiuW0cKy4
BJku3eq7F4bF1RxV5fc27z9uCRC3810xeAEY0T26NSlH/v4nLHVo11NtaKcWdz8aLWAAdD1fhuHf
Cd5/+jlSsP7dX4IKp25EYmknS95a4nJ0vvz9HyLHYt+9Vj//JT/YgGh3SsgC/CX6hAXWvHe8d2CG
YIhPXj/QdeOBGZ7qftcn1x2ZsFrylsabKLrWq3NX3kassju0uVYUkAZLMMK5T29H6p2JTNe//001
+eD69q7+/Jsy+Pv+tSC2NOwopXktjCCk0W3qhx77WaWZp5EpG5Ioet93R8EGyf917d9oxH9JD/ig
jP34C2jof20YZMz5PpxH370ZGE60blCd+USnn2i+5on8MjN1o4NDZTa176Vq2e9T1z2ICfB4P95o
+WivxpKCf1CVxReIu1Z63auDFPUdRq/rxTYvHvXCOIyh2rL/UFLtfjKKdGtkXkpqLnHAJUwSiHv7
GhmFPjQbrZvRFszbeDkNNoyRiHleo0C3XraCBM1Cvw6XdBP2jy3yrgjfUOQeYe5i7rHXAzZwOrw9
lATfYcY3pzUO1LtKUlJs9JsLc6hk1gB89JeOKgMvKWIeW/pRGjB2vOUFGvcza44UOMNQ6ox96Opq
YzHgCt11JiJfYn7SYWLulUTmGtQRAnO3oJ7M8qcOrmhRLIy6LAgrWWT+Kgn7y3fIkMu5b+/QTze+
+cPtQgZim3ZTu5zUrbEL98tl92BsGaGd2pV22e0aH2H4mrnaxvAP4sByYz09KXuYR1t1Sy7CJv01
nOwvf6E/qpx+vmSpFL6/ZE1c7U4hL9kq20P+KMc1o5Bm06j/8DiSl/63v/vnn/PDA4/g0SWP0Uac
GFbmd9OXJvITRJz62g79f7gL//gS//qjvr8JZPnx3U3g8XsJw2NAG6PNIvaIhGFypFYjaUakNJ3G
f/rT/vgs/+3nQXKAykDRZXk/vKV4ECbHwTB3GnEwlcvLoFz//V/0Zw9AYsy+/oAfXjsUSE45RLp+
whIqe6ORdNcp+4c36J9+yA9PWW9Ccz2zqTx5w8XSHDr7Trc///3f8WdH0vd/xw+Px5mzWojC0k86
9/aUj+iWSN668pgPfvyg/9/Cy2PyKqq2eu/+t/zOr1U9C8ja3f/88T/bX/87eqvWz93zH/4j+GB8
nPs3Md+8tQzYft/ry8/8f/3gb6SQu7l++z//6/lLkZSo/zqRvHYcL28/UER0Lua/Lo+ObyWtQVL+
SWkkv/C70sgFT4WMkhIEby0f+loamRLaLldNGhtHSqFvKyr1FxVaDOiqX9sGScD8vTRyf3Hw1Mnd
FELJf2Vgsn9+TliE0JjAsGw0Ft6PjlwHWqRb6JFyIhqWSpxDTDWXt3BEMZxZOUNMg1KG8Gwx4wHY
qkjJbzxRKGfdGRROB6cqnZsIurML3XE21kxZxAMwZ2d+ZeLLWDQOZTgWYLq0kbA6ndCWqGWg2AIC
2+LuQPwtgNoRoTkFQ614G6Hpj2Wdqa9RAwSv0ad6U8WA8cYeRN+AtwPEO59rSIBen+niMylzQPUk
Xm+JB+swls4hTQVWEBh8VgyNq4XK1+v9CylY5CBIYB+uJn2FCQZyxHyk8MPY5FhB7JnDlSuBf4VU
ztOZkdc0Q6Ak48DgrMRuWgGBMGYvC9xIX1a6BAku+Pd1TpjrtGUUUc5d/jS4gAc17SExW2pAJbtK
migmWcI7pwtbAwaKx1nF8uMibxqB07cEntkuawuzy3F7SOihI/GHjDWSQ+koIBElHBG8tBq0KFIl
DAX6oysxikMNkIO3RUEoBWTRijwWVJXBrA3pgwQxZkOFwUrCGcvWzM4TvMZKghs9iXAMP2iO2bIk
G0VZgxL1jTLPVqnkPgpJgFx0B+YZ+UHuGqI4iMiUtQ8Qz7IOb9n819shTWs14MIu96UYhm3RAm8M
bcU9JuaI4b1DE06V0SKC06RUXOvjp1yKx2NU5BFPJ84JFvdw4Z4yrYuCEM05Q63CR6N/mYfklLvp
fMqlQD1GqR4TFIJ7uTvNEDP9QsrZTeFmvsdSb0W+0V5I0Tshb5o/pPMtLSlvE+p4U0rkPQEOe7J6
d2V+LF6Tvh75BbqPlawYRt08DnJqMhsOyE4jN64tqwUzLXAcqO1qsgxfbzM8xmneXYrGg8nPhXYa
aJw3orEoek1kJkpVAaGXyxJ36bdGnH+W3K1OhSHG8qc9jJM0vAyRtrHM0L0CRrtRCu+LrrSXdlqc
q76/DxXj2NYO9ntdqa9mhQWObqM+QGJACDr8MnLu8js1DUOyzd46ZbpIcjgFpnM5xxX6iTTeNtMc
2GiB+JtP7lxeWgWr5UG5sLTksogBNSe9FR5LF/Z6YdfGpo+jW9RJ0b6J8z05IRh1eJPc2DnUY4JX
H6/fSs/c56infu3s5DQNFWnrJZZYpRsK3/UaX7PzvddZgSvEcyFcFEGZBiny3XYSHi3FRiwEeWeN
rw5gviIdYB3sr7hOke6ZF944+eiscCZ1uF9gWd+7uXrCxXhvDyrjgcyrbKIjPPsQust73eAKWvq9
07troygCu5sMX42nC0vJ/HQYnmPS6QkGCtoI9glTj+s2K2/cSv/iZdzDRW68dd58Y7KNWxdNfZyb
ZaNkpl/zHsNZgP/KiBugBCmIKBlBV78u83w3yutRy9K96OPrpcLBhRcGEK7c4+2coiKgjh/PlO5c
lNPV3My+DnqkDPu1glKXfOHt0pOyiLe/qFMckmTGWWwgcj15tV08PqQ1YZTzMxZ+c12d0G6ST6RW
W60DuJv2tFhYsJIh2k2quy4q5ZLchg1hhM/wOAjQnJDSFu86IrJQaGs4i37Y5W8if6vC/maCZ5S6
KqHucNTG8tFqIHMsxhrZPycr4/hQP9mme9t2NnYeCx3BdGNO3l2eLvrayyGEVqO6LUzhe6HHFRhi
inLUjesV7zP2aJ5wG4It/DZ217YLu5ZYoT0Avd20iEdV6w6L5d7adv3oxu2NVEz3xZeSI7pRVeBD
k7ZyjGST2PWmDWfZBwQxs/3IiM+GiI/VYNzoIYEdSrfShSrHzataVXeKN+zcViEKML9Nreqys7R7
wW/qhOT02FYdhAoZlmq/4Va8aj13oxntwQhJg52aIKp5waayXVcNfapp6q9jXz3yrUjyINR4RnDq
cyc1BAqN/lyiLihbKIDKBYuvPbYayFHodweRbWKFQyKuQ6JP2WTRdjlbvRseir783MFVnmsH2a4T
1DF846oTu9K19upUVIzEvK2WDo+jUB8qgYVV0QDTT5sk7HntvCAqOyxWFlenswVzcCZQ86IGjzIo
/S1Ztjt3Ck9kW+1LszgMoYbAFbRB2Seb4v+yd149cXx53n8rf+19ocrhYlfazuQGA7a5KWHAlXOu
V/98DsEmtO3xNNL2I02PNKMxUNV16oRf+IZ4WOeu0HjvJnlnn4Wlc4T07dfcRPamRAOBUualW5pn
FRzBtDLOUQmWJ7ZSfWpEV5I2AJ63zSQ14iM8Ew+QCpQnHZYjpdioxuzLENWHamksc4BaDfKQodZN
q04EPcCn8/SyzIcDRc0OJdosp5KL8KGHxN+nqtL76ajWB6UsQ2/oYApGHDwhzR3zMqwTxOE7GnXA
Hr6SbU9U4W6VwSoNlDszQXCwLr5Epb8PV+WU/TaYy2WEgmd1aIxCHyK2oukoK199o8oXjhZdJCU5
btFHy0hT1mGEPVwEPQ0Il7ZAh23lQr/uVCmZB2NG/xXDAK/zpsqgzqIYSRk/XfeeuQzdHurxcJdL
yGVV4U1dQnzi/GMFVNh2tNa8abx56UvpFLcMdMeaaRJzSPQQnFvJpgBkLKpAhpVqLQK5nyOkyP5T
gfn0+nHRJ+khfdPDsiblxsFhUoJ1SKl91kE0lfxOOkgxEc3hhCkgD0sl24+l+niUuq9Vmd+igYP6
TwW2Le6PWx0VyUTm+HsR0q4fc8aXha33iYoBB13FOVATghJv4a8UWMoSj0TpVE7wJokmWXQuofH/
+5u8T4vFTUx0IjWd0PYBg/sih8RWRzYNXZFOe/tbib9H87XHAlTDuNb/w502Bbwv7/Qm78pcOpij
y51U+wTePGAKCDsjPJKrsLkOMvMP2fHG0WM1Ad1F6wL88OvkWIXtbLtx5q1b6bpuDgvvNo1vfz92
m56IaJlgmdtoCBK8voVrWr3sAJlc0yxEEaDBgiz20UbylgGCr2p98vvbbXgikFgkLSDoULQ031Qw
hMWNOsh1sA5SxF40ivDeMo/+8Ezvc3ze9oubvKmmVq5Ug+vnJmFZTuryKHT82XaPIR7zxYxr6xHS
JtngusyPsUieRkAvsAf6/U3e6B1RrH39GG9eTR4NUd4mVbDuqZUhjuUEax1Va8f6aqDAAD2bZvnv
77jp7SDhD5XPQPkCScvXjxUFNgkv+g5rqzgrZA8ZgH3L/f7399BM2USUg1dE+fP1PYAySKbdluE6
rXzA74ikZ1Mo1b+/yaah06AjGrqm0Dx7W+XJOt+ygqAPeT9fU/PIJ1PEgg6hgE9hc6jj9dO5Z7+/
o5hTr0tm3OvFHd+8LFhCMGiUAQstKvht9RmHiz9sBsJQ48UtDESvDcXSoQehOWqyXt9sPlWm+5Hf
K8k6PEI2ep/D8xgXg7lx5p8b03SOf/1UWvz+qV7fUlTLXj/Vm1tijpb09ITDdWuiEwVQWXXYFLLV
7++yeex0hoSTky7LmylhjrA3asSw1m7hTFXcksBZ/P4OYvTfvh2s7ZhtDl1TNIJfT7q8UumKV0Cz
LVJfCmdEm9eBDq85DP/wLJtG7OWd3mxw6G+BsbLMcK0Y9759ZrifivEP29vmWwBJVhx0Z2kavX6Y
QIlaWx+9aJ2mpwa90R7cqNqYfzjqNi0hJtuPu7x59VEJ7nfwuEsQ3cYSenjSHCqWETXTqF5L0TI2
/vCO3j2WirauRSMMxXek3PU3TBnVAbeZWLi+1+0SNGBnzovx/PfT4N1Ee3MLamkvt23qsgyoX8Tr
DtiPInmwBow/DNvmWwg7RKR5Hepsr28R9n0ixWRa6yq+lcZ9swv+cIN3U5lnsHWKroQ0iO0Z4kB/
cfSwdVq4nmIMT5yXNHgahvsBiq4IwzyM1UeXZZf32clNcl+9LsPuclVWLP5fV2U/3dxSX6CSu6Es
K/7yR1lWofaKvzZgzUe7ohdlWWXPhvIFbuPJyOhHWVaj9qqZOqgMcOm8Q9ES/FmWlcGrQkoigoVS
8HfaUtSGmQY/dzzRuqJpLb4d54bQwHozTbSwTSuKDKgy4E8EWjXIF9gKhPMce6DE6usFpUUahL2h
t1+7MDnMsYxZmjDjJ5QCAaoOaMm6qa1QnzXnYNgT8JypNTXlQDqU6/HGcNURod/6vjOLiqIRFbQc
k15sbc1j9DGpe7Zascj7tjgxFZxsMPetIRh19EcwELMPklo90Evle9QPVx22wJYeYZmDda+irpwA
Iz4nBAMSCC/hMIYMPgp/YQjf1dQTvm865sOhpV92pnQdtdJ9J9yJhfHnFJmsnjQtuUP9hDK0LJ3U
4Mpm0LCg3kddOmkd85tAkM6IgBRELXAEb4UzcjNkV76wSsYy2cxKajMPLsrCT9nDnsQ79oJ9il3n
kLOPNXyXRwitQ7o2lbwD+B2dpI65GPvwc4Khm4tps58aF61wcZbD74On56iPqmc2NWEUr0YZ2Zjq
MpNqSi8NWVsT+zEeoAjlFI5WzEpMoxOvNsCW4SNdCUdpLfbLOQ1hazJmyIIlwnm6ckNnLoGtnOnY
Uke+Xk0SSVtCHgvPDSVWZz2WEpNwQA5FCQCNGhm1wVK4XVsZ7tGRreRofIAWx+pxAg5QXjbCJltW
ApSJ8evRgfysGtcZoqvUkyzvWK3G5HMIHtuZxFS+GL52nPaa2U3aPuhA6dnfK8df9T4c7BrnCC2p
auu4duvKuS5JtO+SOLOkmaPEzirQFXdhVKZyaslBP63w8wMHOaSLXO+y42RUg0sbEntJcX+FtNZ1
hID/1EBO9bTTQ3Um5Q2GRYN94aTdvpZQTkBwehmPSrwqFeVSalxl1sidNu/BJy+BUnvniQ492KrU
9LRKcWSXGUs0LI97RGDQjAysaY7ThFDx6deAnStEv7r8AofFbxVB86GFbw/YaP8+V3wKETq2QwG2
mhIcx3oicw5DdVCmFk34VYky90otzfhTYRYxNV4rvYhUGNy5grhWq+cXmV3P6tqUJqMAk3iBsepN
SJyNK4XUQxqgh9lw2lH/nkpQDKYJIkxzI4DSXpuKjTsi8uX1IN/0bj4t/O4Kw2+cK1J5mGSIWs88
3aG33+sSqlVOd40TE1oYY+HOArtOl32eRbeRZlSruOnwqCrsg6jz+1U71mgS1ELXpQSRQg0M7kyn
KUjEeRrWEe1wUsGLwjcVQIeVBazMpC0XlBP7Wa2i9izZI70ZBZR/ZPTj/D/n0SOIisjrd+dR+s/x
TX2/6TjiD38cR+qeTNCEmATtOFk3+dGPLqG6Z6ig9wwQgRxKMhHpTwCVxVkkundgUASO8OdxZAnU
FZgUFHc/BEAFSt9WDdUit8SE5XXMUjVdg5js0MEbWpeUZwfQ5i8GZf2+zsQ3fXHciUSFgoLJsSeO
XdK+N8ed2VmR1lhNcwpg/yCwriQZV5yzSl8p7hqFq0p5nI2/RGKAQvzDHcU3ehGHqchnBGw2zWmY
w9WlAYeUGw4kasISzKqzrszsg7Y28hMzMlzE3xdmOBQ4o/WuMa+T2uJITM3rHjzYPvagQp4+12dK
leEiZvtHRhZfYRoTTfNSvmul6LvTS19E1JdhpsnuzY4eeuUwxWcTJqDqs3Bj3KUTL/BWemQuKwr7
C8OwENnLg2zpDn06DXp6MVbZ0GgcSYhdNfgkdfYUja1zu20PAaZmyG9BUClc3lJIEci1hRBDPdMH
JMvM7sx1wQHQX1phebBuffBFtrmfysIROvQOsTWi4ytdlhLndZtet6O27i1/1VpjNVfqaokE8lJH
VM3HmWHim1m3kPKyWmItfJwB3/xk1fKDSOpQpZ8yZMpXJiioEKo0sHhfqs/gCPAPTQKi+TQG7VPD
5YOmPBqw0muYU41WIOJgH5lmd4z98hGqLPt91EGAdk8kOToZRvMzJw8UE7ZF7EW1RUnzBFDuHRqG
xrwz9OM+1w9cVUOlMT+qMRVqmmF/0IK1jD1D6hazoB+OCDCOKJ5ms3rEmsAzusOqlT/TRZnrOso7
STpeGjBjJgiu0b1t0nUa1cvG7k6iMTqQIf0jUoxdQVSTixY9oPqqZcvU8T+oQuuyqAeKFRLMFzXJ
m/2m6epl7KrVmR0Uw1E8oORWQU6MkztH6k513z6vmhIzWZ/ur++XC7TFD9w4WDep9KlrU/oLvJas
j+d2gPxhUt9ZPhIXihmeqV43d5oErmevzBxVYK2Gs7pBA64CHWh2+rIr24UMlrc27UmiIF+YZZ/G
VF8nboGheo94Sx1H7Xk/+Oemq+yXXTOzc/sLAN5pbxnlRS5LoHqC8nuKQFHiOqjRwX4cwZHpsj4l
j72XcYFKoVUWuhIC63f2ESqHT46wnSkh1Od6a6jbxzoK1YWRLHvZmOOdPkXP9LCq6DIbaHOMNVZw
0gmJ/0xFNISN4mxAsgfGE21XTXcXRFRXOga4KitkWgi/K1oTmCR2Bs3KmHgj8Boa89JBVI0XlRCU
HOL6JMBNOcQ5PQzhwDQEWtPGVm+cJrwJLfs4g+EDV6ZDEa8q0WetOmITt7VX/zn0Hg494aLzm0Mv
I0C/eQ+oEX/14sQD5M52v9FAjoYAcGEBpSVHo9LwfOLZe0IizKbgreiAEsUFXyRgFIYMgfQFZiOb
6t9gY3RbnGk/E7AHoBmQGF0F1WtrJOpvCkFRmscAUUK60JqB+JRhj6j8aWZzW4YoXeh41MiJG60A
oabscc6VW1OgdJGbnLFtf6uT+BOu0M5EldUZ4BV8BvLgWyPJ+1VbHKHG5U1Lg6Y+cnj4lEAwokt1
DY8GaQmVnlZSFPuYXE61MTjVamk/8Z1jHMYnSkm/h8lcgJ4nVsM7aJXCahw7zCo1ItLOzKaZNK4j
vGWmUFfOQaN+hb8qTZFkPBsiia0EgXXJD8opNl6AD4MANpF5CI8lDoZrWLxI/xjheVXifFYWUHES
45C+UjwPicKHLFOP5VzHhW7UhQrC4cgB2abNoV25d7mDOwE4NhUt0DO9L9qpl7poJcKU9FTpK1jd
OTufclMOmUjlgOxU5VWgyncenVbkFLUCMdr4sreku8bAWRVTtJXwPBtiz58rPIMrR8fBmN9UYVYt
WhfWGdpvSMurhbFMDZdGPGKfpZ1cDrl7StBynZjAjiJLPertYlnruF0ALiGDtJWFjYpH4eIgrALv
ERY5TafI6Co5V6HpLJrOOCYlXcq1jcyZHZ6lCRtem/aYXoxHHQndvHPzL4EPYqBVi5CsL7oqKhSV
oqj+YozdIWk1vYsq+Z7Z5TH4MO/IjzzQd7o/S2tz3lVoc9DZX1UuR2ZVeBdqXO5jtRRMbat2DlD9
xCbF9O9Sz/rkucMSh54e2d/kAGu7h2P6vscHc8QP0wzrz/zbKhVGmXpr23gT0mbww5oSvbDTxFfT
PMqEyaZjJTOT9TTzhQGnhRNnohSr0CqXZos+MvBjb8EvHitNMc+zBmqXMPRscfZU2nIZGtFXfVCW
jgc9LLeNQ447Z1rDDJul+IM2wigUBZOFLqxDEaKcD76VTygb29C9y+P8wWhUWI6qeI+qeJBG2MDF
DqdZRKKiR91BKOxK/XI4KfEv5eA6rEc0uKQHRFnjZeVnP621mf+AODMF+EwFJAEQzRagNDl3ivPq
AamGifyiBrsGIRIQm+p+j7z+3jUo6fsI4qSiTWql/VVllt/qCCZJnmVnlucsaW2eKTRNbDyKpuSs
s7y3SOesltxfhgxj1CcKNk08XD4vLEvwU8JVVvcAFlyInU5sjeBPqmSaB8msznoURYcblFRmRd9f
2649p1V3yYvGryaU9odAOkoLFDMjaT+FrGgCmPHCeOZI7goaHM5D9Nh6QrhBHw+0vP6sFOXMxxVq
psIqa6E8IkEbHsE7RV80wpmpt5Yd0RG6w7yQq7oMl0PfLIhcpi2yXuDlqafgnTTgdeQHzhfMLaNJ
VfpHbe4oM0iLDh1ppCPGKF05hXyi1c5tRRQhI3429JaQ33FmWj4cU1bY70qNLrgql4dq1/FuDeJK
WAFVeduU7WnYAxkL9QvIzQkCLOXRGFkY3RrpXI9YhbINPahXnAW55iejce8Lk3a60yb7tePZ08pq
V4qHloBUEBpqydqVx/bQx4gFJrg9sTGx8PXmuLPSQ7QyUqiKMU7D9tdYE0RVPJCQtCgHeelYzTow
28+ymu8LZAVYImuODQz7X59Kk9zMzrXGqafBWJ7qsod0driK2QDRaDpxzfGiQPSmUOszV20OygIB
2oJ4pXeG2TiqC9Ms55qk7GcZQOEKPW52YW3hGPWhnI4LO9XbqTNIsBLkb7FbqQJodq0FSM10qqHt
K5a3Vqho5Z53hpzxERyodjqOaFSbmBbJeDBR4UEHJ/fCeSIFDsZPRrMEvLvWYmkRgfCg7fxdU8dF
muAtZtbzCofqBeYw2PlIIOTqfF1b9mUv9CESw4Aanxhg+UI1/hIBgpl5efs9xFTT72VEd9N9cINH
vkNE2GC/2YD6UQn7kBMhgsafEzelRYFhZ6SAfIRqeMUOPK9S46yU3GziCZNPs/zcF/0hZI98UjUJ
wrS5Pa0xBlUxCPV7FJIJFXFaZhvHQpROEapSilsgEWdWVXTVxlIXzRQpVRY4SHVTG/PRWA6QpMB7
DaTeOOsxJ9UfXEoBNc4qjEudcTxVSkxUCBc8pCOURS9cTl2t+G6hLYeEbXRMWYjtkvRpBj7mcxaq
ayT4z4lwKXnBku6xUTVsdUbmcoDW1Gll9vuj8FstLUjQqZFe9lix5liyxgGsZAinszwOFPLF7rQV
/q36aBNS4+gaC2/XUri8GsLvVX9wfnVbTGATRRjCvoinNuTLD9CBn+GJqA+bSNBTwjYgC4qG7+v0
tSqoJgyO5pwqn5LJF8S91sUU7OrUubk4r46zg2CeTetVcGQsQdmtMGTCf3yFHNXyPwHuQ4Br/LbL
cNHEN+X9+wBX/NVzgIvvJH0wmUBWBd9tQOP8UdKBMUrqLuOE9CC4K9DdzwGukK8TbTRZcL0oufCj
5wDX2LOAjxMwUyMCxALT8xkB/zRhAM//ugBiv2ZuGMAEhDEyPXb+WyFgfjODPLdARC3JmpMxzpAA
D5rrciB3IoCxMFsXULH4s6FgKDZk7nFQ2t3MAG41LdN2Dc5333IAAVaGikJpW8wqKTjEc+94sMZu
QvzxSZajuxbpkCmuvWAPJfIrt1OPsxGBE1c2PaTu8tO0lz+jSH6tVvoXB09DIKcObgNiD3akcRHr
kjQvOkyN1BI5NQ8EcpCHV4adXudDdtn6NE6zusrRezWvyqLeT/v0c+1In910OPRN65Q89LiN/CNA
49dVZiOG4ljrUjNuY46ZecKDkSoG5lJVs4NGyb4mgzzM9VAbuSxCQkXcrXBbuBzUHKhV3S10nWRV
FXg3vcOCIALhVQA7n9mxeVTV8UWH8BFWRvT0I/s8C5y7onLWFEso5hY0M2QvrOcutux23n6Ro/TW
rbOvbgHVJEtvSWsI7aPSmzdph0a6lay9nCq7X0300LumJ9nO89jOZ51JJNfl2W2nOMeRRFU6GahE
5A/qdYh5LsgpwGkq1lFdRQeF7h6hGDIbAe+jMNEt5LI78Bxn5anGOTKi3wM9vIeUdKEF3hI44ZfE
G5OZbPEleUmOXILR7gjzVBkJH7UvzDOzrY59p/8eh042A0O+zGRXnuJSR/NCVj/rnnGu4385s4Po
QvfU741qtsQ64s8N1F10rfmSECpUGQcFhU0UKTAcQ2EvxOIk/kplDDG9vDlRfUOeBJEVTwulNiay
Lk3MMVrIVh5OQFcsi9rn5AFhA2uZt0Y/qpuqhjlDeAVm2mgvTGSfMfZDcAJNjQPEqjzc611Q8t14
jiXoskuNRYPAAVu4K+SPghLlCbCo9liF7ObMOMOC/GOPTOKh4h0mau7Nu3L8lGHpOGlSm8ypXbhy
82m0tYOgixD5UPEyqQqX0yimqds20S1h4BcbmbOJZebfZAVXrTRzp2UnRBPlgBJZiTis5K/kVApn
kkXpRQb0i6PfUpEhbVWy5KzovA3I1tr3SVgcoWfUTvIqzOcIXO2b3jDM1KZNcXzsL7PCoPyFNx6z
MZkgTfOtwr4F83CF6GvMxzV6ZOqhnkaYIRia4+3HquNrsyjqPqs2kIF5KVV+cMUwuPWpWoOJnJuB
oS1MN5HTCwtSTkarKsd3HLJj5WMCm1hrpMoCcw0O2F9rRe99BVk/r2Km0EQH9HqSVxho1rgY2B05
M6eQjwnfJ7+QEalxjP5MjqUD1ysCOj1WqxmTxo457G1UlvcbS3ap9gUQRKa2rMUJToPYFnbxWZaZ
fbGUQ039EnVYjhzHaU47CD1kZdab1q3sIXqMI8xQIgzZoY02YlmgGwV+a6rlXci1FVdfVbf10G3Q
RtWnm5SY7nVkBL5+LKOGLMET6Zv8ESPxn6Y8+u+/qQd9bb5tqAaJv3k+LNGgl2WHYg/VFvrJ4tj7
0f9Anh6YDE69lIQ4+zhinw9Lh584lJBEHET/QNDOnw9LnJ0JjEDYPGnX/5XVkya/PSy5BwBYUxzN
oq0MH/1VtyCuSzgcWS+f1mH2BYsUY2lGGuIHUpNPiALyMyODNUPi4ZwI2dBFlkGmqiv9oMxQsuxS
9LAChG6PSoGs1u1IqH6bdDWBctt9flyO0jRvsS6q7VuFajIZXkfTtHGRxO72HddeBFYuz6h0LhtB
400dYY/T0T9Py5Ue+OkF7r20X/P81uzsw6zJL0uFlqKeaMHE9IrbGN7SLKvQDyq6btUj2YpCVOan
Z/AsQaHr+lrSzEPX7Jx53cnuNOkkdyYpJbyEuFgPbn1jNd6tm9gdPdtUnntDXuzbqQPtOpPOa1TU
105NGTsxfVrLGqeGO1jWzMX6fIoLClxXd8CKRy/ZtLS7KjDPfKM4sWvUIHI/+hKo2kWdOflMCtX7
nO4jjG7vsmRXC4pqvzERNkpGZUXWcEdgkQoi0ipy+rNUDo8rNGiT1DsMR+cCb2SE0EYhUqjKF7kV
qrgk6Qe1n9fT2EVRSK2NmwEvTnLM6ovdNSTAOeF8wcHR6fIa5xFl5rvBWeBQNZaSzu4OhkEuoQDA
TCpzMrP0xB6Dw3bIvH0trM4bk/pNb8jtBNXfamqZwMKxVMJ8Jp5ZiKiJXgUVhhRHMnjOdVxFKztD
bD1IK/vUUfNhGdMnmrQmttNp4Rx7VXmvFq08cUbLO5MaOgtjYNw6ahudFIP6Pc6MATMNM5Nnfqg6
J6AKvGmaAndwI8Ob1UYSLVI2wwMvyk59xFqncmyfdgg3Tk3TQf1tQDIv0jX6vMQ8pXqSZzkFeQ0W
NqwxJLwa4P+KIS3DHkQxSlDXZu5fRRG4sRJ2Cir/6Yz9knHzGNw4FUy2aryyoJ8pbvYt8dxlo2j6
AVp4Z4qdf9d9UkgMIRs6JdM0MsupXJfavomTa24mBz2MId3TTgclOiUy6KeO6O/IWfhZ7txLA9Pu
FSYi0L8k6xK5VYOvrR65uYqXt41+X1EkyNvL8nky1AdyFyyLKDwPAgAgTfy1k8tvtMAzGhVKBaUD
fl8ZNWAzOjyc5BQBMAbX0KUD3Ld0sDNwsRqgEigwCQdX5dZWYchU9fA51yBjtUq+yOHMEBqOxWzo
2/3IHfHpTOWTLu6++Yz13NRyF+ufoCAEzr9oaX7skCebdrYIfeTbbFAltdwtrFKo/MVdQZcF1+Mo
bPDXhho1OHFER9C4q0X5EfbjJLHDo8JF+SnIk2gaqeoy9KtrOywOqWNeKtF4pUjVGd8Psp6Orm3n
HJc97sZ84Zk3th1IjejYpvqE5oV8Xjna9VA7OfopPrrQvdQfSNEg7WcJvmYp8mptVHzS0VDx8+jc
NlNjmgO5gDCnudW+a3EV/KyNFcS7eekWDYZ3UoyhlnoWyogbomljEqtV40TKIGMkGZN4QLUNXpSF
h5so8HRZPINYiMak15+FKjwQ15Bv7ZHe0f8vaelTKLCRk/wjPxM/XWM9Xl9k74jL/9IvPSd6my/0
FyRnnbbam5P74Ys90Kx/e534Brm75g4atWbtAVkgVeUwfvjQlImz1Hv6sYTw0B6oAaGj/vItbv7u
76ndvxqoDxsDAxvJrcfA3gPSSeyCKsHGMSDlhzVhE488jveLefLvPeC/MlC/fYFv2e7y24rH308E
yhoKSAtQHI+DQBT3eiIoe/TsCJ8EQZ724f/xILys3xiUYv6NScADvlwHKk+H1JYjP3x4yFePzxxA
HEmldQmVSnx2YRBExeqN7oHQAXjV3P37mWDsadbDRBDiOHw2DAVwWRQHVDaL//uZsGEQ3mlj/f0g
WBTshE4Dy/7x82Y+sC/qgKkEYHhHB0H/d9YEg/liUTh7vGSIQrAdHj4b9gTE2eELOI8p5P/xnrBh
Jsh85S2XA1VdKraGoTwNAsP6dmewbAB8tkIVdieXg2hAbDkIHJH4kwhyzeOewC7zahBEmACyAyAj
L2EnB0Gg9LccBI5IahkESwjGic+7QZD3+KFMIEEDgM9OHJSbFsXjF3vsN/wI5f4qbLRx97YgKwr/
hdcTQd6zLFV9EMDc6THY/py0hY0im6Po+IiP2Dtfhc7yHjUxh6BqV3dHocu35ZowyR/AFsvIoW48
JxUxSo6Jt8fjTryDRwT1wi0HwRaKl5QWfxU7EzxafEgyHjehHRyEj9gdVTHZGYVfLAdg8iB6TIq+
O3pEiDbq1jNBhMbAl61fREwqIRVkYkvZ1eUgwPZbDoIOf4H6va1Rixeft+ck3XV41JCodzV0Fiqz
240BQtAWCFcL2vPjRHhXV9H3IJNq1FV2NWCSH7O77aIECCFCO/vpbHgbOqsECwLI8KjDursBk2gZ
bTkf5D0I3YCfKYw+fN6uCYYCkSYHz8RdTaqfil/bzAcCaMFqgs/wNlRiW6TVBgF3V1eD/hGhEoLZ
oHYUBAPF5102zQFJmZFe6q7Gi0IXYLt1oOmibMIkp9D2+HkzE0SdDeq+jpXL88+54+4FTO9IFH9f
YrL3wE+bpNVP+cO7LUHdsxCB0JEceBj23RsEZev5oHMCABqAJv9uSyCKAE0AR/LpBN3VMdg+meY9
Q9EUejmbzwbFoPBgUIEi4xafXa0raNvHzw9T3jIYjrf7AqRYXAgIKoWMDJ8dnQ5PNfHtTkkV7x2Q
wU+J1Lt9AbyNQha1u1VXZfscwtyjvUDFUX963W9DR3FO8DMKkrsaLwm9ve0OSzZHlrwpQyF/nPNv
B0FUXTkq6co9hpW7ujE8Vca3WxRkSwod2KecknDsdbFNBTRmKDAOdzV4EtJa280HJGxMi0IbZfa3
T0+6iWQy2LZdnQKCg7nd05NSo3wrIO9PkeG7iEHeQ6yRbfGpB7qD8dL2KTWy84aqavbzvvjunKRT
o2sU51kruxwrPNXEt9kSBGyD2gHozocnfdenZnfEC5xezM7W34Xh13aLAvyOeNnsik9R8tv5ADiX
0rtCtPC4/ezeolAfQ7ntZgLgHFFHegJvbIqYBO9GVn+cowz77g3FU1F4m6Ew9+hJUUaxnoJHZtjr
cxJ3CpMKNDCWh7m3e4PwBKjYZhCsPR4QtPdzrsC2+3oQiJvw7uAk3dXjUojobL0zoHZHRc38VcQk
YPvirBBKeDu5HAS3bstBMIAl4KBNXfUXZwRlV5JqUG27uhye1ul2y4HCo8GO8FSHf3dGoFJFu4ai
3K7OBHXrXIqDkj2BbRFXzofP242RhNIx0eKmGvd4SOzoong6x7eYD6I3pYFcg3fz4zh8uz2a7BvQ
TB+D9h08I7YPpGH4siQQd3+aDxtiBvS/gLYhnC8+u3pSPMFxt5gPGjA/gd6wrKf649uloWr0Ki1T
g8a1o4vC2L7gRD8W6JYm/6pzz/4AqkmBer2rm6SxdYrNJinMkHVm/cOcf59SyXvg34Qdwq7uDE/t
9G2WAymVbDrmDz7Au+OSXi7Gb2TYjzjAnd0Zti84mRScKDlp8q9aVPA76VBB4NzVvq1oJGwZQ2q0
Z8gtsQh/PC7fzgfgLNh30LXd2TPinSDG3zcrqcdrsigz/2JneNgeRaXhaRfawZhh+xiSEBGqMniW
p3r8u7xS3iPToET51AnbwUHY/owA8WlQeKPI8IvokTot/pc0dXe1Ei/kXLbeExxbRujwiSLz7qBk
T9AEtV3ZWYzbOyn+v98TbJRwAL6SWz/OhHfLQVTsxX9gE+1yCG1sPR8EjIF+JQnFU2/i3VDQnqJt
A6plV6MFfeudgUEA4EyTHv+Nh8+GHh0dfBllpF3dGd5JYfz9ohDJlAJWA7bo5kGAR0mT0mag/vVk
6l84SH5wj6d+EN89UJOD++qF5fIff+GZlPv+Ai9Yhg9cy1e/KfyYH6/9yEUU//9/XtszP5TaX/z0
ufT+cKenv396xPc3f3Wz5+d6/sdVcF/elLcIETzwIJ++qHBF+e//+t+Y/7m7ecuRFFHc879t9pL+
cTb8/up5kN4/X2j/7r//i+xZE7WC53/b5uLJzV1WPl/oxcXZPX6O43sX7H/pm0/QrN30xVmuW197
ehPftLyS6vlaL747833762dxU717pYw6BYAPuDh+qTf/TLOq3nQL0qmtbzG7j/85ycqN48+muPX1
5/E/s6xk8jxf68X4cyZtff1FeV9tck0XRZGtL76M79P0+TovvvhHLNdVk3zL4rv6/eUFiHHrr76f
5PdlcBM/X+rnt1c+Ysnu43my4dIfsWIP78sNYy4gFFsPyiFGkhs2AoEO2/raRzfRhj1MAI0+4NJV
db9pTD5igR5l1T//m3r38f2mkfmIJXp8c8cG/DwOLybiRyzR45sy2DQ0H7FExbXzbNPuLto/W7/W
4/v0LrsNNu1eoob+Adcvb+/vni/0c9xFRXL7i2d89+frvLj2RyzTYxT/N1z6I1Ypl67vy/thw+U/
YqWe3OQbJrrILrYe8JP79uZ97IjczEcs0dPyhi3g+Vu+eJ0fsUTX8c3t/YbYUXS4tx6Wddwkm4I7
4bW49cXPA0LHKrjbMDKiZLP19f/oL/iQQ2wRtn+6Sf+Z3CMIumE9aR+xVB9vUKY35d3GjUyQNz9g
mNJ/ZsG9t+khPmLViodYsAJug+p20z0+YvmKexxkNwX+5s8j8nOZaR+xhsUdjpqg+uf0W1Dlm57j
IxazuMvvLMg+YMbWN/9MbspvN5tiBkH4+oj5xD2mqG5v2KwFAuuj7lA24/PFfr5sQdzb/gb+zcac
UBTNtr84NYyNQ/MhizmoInyPm+fv+WJgPmQtZ/HNpuhB1P63H5jfWRFtPfPrmzSo4pumev6mL4bm
Q5auKLNsOIeFLtPWQ3Nx799scmkSpJPtL06MH9QbgjZRKN/+6r/T39/2rV40FIiSTXU50Zfc+rtf
cYVm01oVAJStr/41izecI4I3sv2lf63i/Psh31SW/QGdfl+sfVY23PRnr2vR4jdu4/ub8n/+HwAA
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1C1B04A3-FCDA-4740-B182-F56DF151A846}">
          <cx:tx>
            <cx:txData>
              <cx:f>_xlchart.v5.2</cx:f>
              <cx:v>Sum of Quantity</cx:v>
            </cx:txData>
          </cx:tx>
          <cx:dataId val="0"/>
          <cx:layoutPr>
            <cx:geography cultureLanguage="en-US" cultureRegion="IN" attribution="Powered by Bing">
              <cx:geoCache provider="{E9337A44-BEBE-4D9F-B70C-5C5E7DAFC167}">
                <cx:binary>7H1Zc9s4Fu5fSeX50o2FJMCp6akakJIs77GzdPqFpdgKd3ABuP76e2Q7GYuSM/St6GFUV+l0t00e
6JAfcHYc/PO++8d9ul5V77osleof992f70Oti3/88Ye6D9fZSp1k0X2Vq/y7PrnPsz/y79+j+/Uf
D9WqjWTwB0HY/OM+XFV63b3/1z9htGCdX+T3Kx3l8kO9rvrbtapTrX5xbe+ld6uHLJJepHQV3Wv8
53t3lUbf80pGq/fb18if7y/X8iG/j2T+zs1rqfv379ZSR7r/2BfrP99vjUTev/tj/IU7zL1LgX9d
PwAxdU6w6TgOYxg9fvD7d2kug+fLBib0hCBmU+qwH197tcqA8k1MPbK0enio1krB4z3+d98QW88C
L+XfU17G/ealbJAIAJQ/33+SkV4/vLvTK71W799FKn98a1Xv5psn/nT3+Ir+2MbyX/8c/QJe2ug3
L+Aev+H/dmkb0f+C9mmdfcvTB/37wTbRCeM2Nk1ij1E2T7CNKeKEw2SAzzbWb2FpP9Q7I0xAeofm
yIB2c5i2K4BZ6c2/f/fK5icIA5qUsidI+RhzcoKpyS2G4cqTQHla2W/laz/ie0eZgPpeuiND/m4l
AXKxqr6tHifA74bePDEJ4jZz8BP0sJy3hDp2TmyHUxNT++mG7QnwZvb2z4D9w0yYAvsJj2wO3KQ1
mB8HWPfOiUNtZhH6DD7o7S3wCTpxTO5YDrW2YZ/O0X68R/QTgB5RHBnCi3Qt5UEAtgiysLOrxUGi
OxwzaoEZ+FKiT+ZkP7Db5BNw3SY4Mlhn6Tsvr1YPh7DG+Qkjjg1r91lujwU3rF3Q5hi0tv3DWn+J
85tY24/17hAT8N4lOjLM3Tyt1SGMNAe8K4dQG1tP7hcs3G1hTU4Q4qCmzZGwns7RfpxH9BNAHlEc
GcL/TsGrfTgExOyEIxMcK/t5Ue/oY3JCGDGZPRLab+BoP8TjASZgPCY5OpCLSK4PoJI52NPUglW8
iaXAZ+xrgcHN4GNZzNzWzP9Op3L0GsZb9JMg3qI4MoSvVsUh1jA/IQ6sUUyeo2R0V0xD5MREFh8t
4qn87Ed3i3oCtlv3Hxmy/87A5KoOsnYpCF9EOCzNbd0LxhYjxKHI2WdsTWdoP7gj+gnwjiiODOCP
NRhZ2UHEMztxOHFM03wCEu0EudEJ5QRjTmBhvzSo38LTfpR3RpiA8w7NkSEtaq0PoYWdEwvyFSCF
X9HCBJ9YlmljEOPbME9maD/G2+QTAN4mODJ073KZZ4dRwiZ1bNDD7MlX2qOEGbZs09xI8pereDpH
+/Ed0U8AeERxZAhDrnLVrKuDRC85hLBsggl7BnnHIUYnNt+4zCbksF6C/Cam9uO8O8QEqHeJjgxt
b52+u8ohA/77bS8TnzDLBCNrk6jafHZ8YxPiIyYF33hkV7+Jqf1o7w4xAe1doiNDG3Iv7y7qSL27
/hap4hAxTuuEcGJjyEE8ifE9xpgN0U3Q0qMs9P8Da/uRf22gCfi/Rnp0s+C+gniY1IeYAPzEYhAu
AfxfWfT4xHQ2f8CU23xGxtrd6i28vTYDdsaYBP4O1ZHhfpOu7teHcbK5A+loyDs+Lfod2w2fIGZS
jMjTnBgt/el87cd7RD8B6xHFkeE8h0Ksg5ST2SeMYtuy8OuVB4xb8AeP8hnTOdqP8Ih+AsIjiiND
+DMI7/pAxSWEQ0oKvVZXBLFuiJlhZKNRXdEbWNqP8XiACSCPSY4M5WVWrKtolf5+05wSyDQTbm1k
8uNnLLGxdWLBQrcwxE43n5GWfgtn+9HeGWEC3Ds0x4a37A9hkdmQoiRQVMKeA2fjsgO88cod2+Z8
tKSXE/l5BeGX1FPQfXn/kSF7vq4OUStknVD2GBF9WqQ7kW8Q1psqUUzJqLx7Kj/7kd2inoDs1v3H
hixsJDhEnZ99AqBBUtK0fprMW+mrTZEnXINg9xjaqQy9gu0W+RRwtwiODN2LVXKAwBhsy4CwF2YI
ko+Pn50wKDlxsIVtzkZh0Kn87Md2i3oCtFv3Hxmym1CPWMNmkgNpXItsslWvLF5IVZmIINisMcL3
bVztR3nPGBOw3kN1ZIhfrJRaH0ALw74bE0qDuEOeFjMa29JQ1mnDZRNK9reTGtM52o/0iH4CyiOK
I0N4M4fP8lVZRweAmUKZgQX5DAKbLx4/OzBj8IxBYTvOU7XnyGV6I3P7Ed83yATY95EdGfYXuXr3
bxms0/UhrDHzBFmEUP7DGtupAIQSMpNCpREo9c1nhP0bmduP/b5BJmC/j+zIsIfpvdljV9XDASIl
9onDTGwi/LyZagw9gRpuwiHb5ezq8jdwtR/zPU82AfI9VEeG+OXqASoUDoO2DWYbYc8V+7CQt9wu
0OXIhuSWiUc5jOkc7Ud6RD8B5RHF0SFcHUqLMxP0OHqu19+znC2KN7srR8Gwy9VEhl7D9yX5JHhf
EhwhukV+kD037ARWJ6xf/mymjVcwBE4c22Qc6syeIivbNvkG5qmcvY701ggTwd6iOTK8P67D1SGq
BsH3ggyFDcbZKxlJ0M5QTAZ+Nn6aDiPDbDpf+7Ee0U9AekRxZDhfrqt76M7h/vZ2B+yEItuxuf1c
SrYjtsEJ59gB+3tvVcl0vvbjPKKfgPOI4thwzqFlze+HGSoGoYgfNq//MLbBpB6bX+CBQwU4Bu/7
ZX3o5VSGXsF3i3wKvFsER4buxzpdVYeIe0NSg6KNJH5lp8ZjcQGkIbE1gnc6R/vxHdFPAHhEcWQI
X0IV/+9fvhSiILAJ8qeQ3in43eALvrIDptd4+U7jZz+6W08zAdut+48PWb2u1v0B0LVPbGYzRtFr
OzTwiQ0bNGw63usM73syT68ivD3CNJS3aY4M6at1szrIlnZYpDZhUAP2HAPZE+hGUOANWngU8ZrO
0X6UR/QTMB5RHBnCd5FKoj6vf/9a3mzNoBh85B9tC8Y1QeA32bDl3YJg17akfgtP+1HeGWECzjs0
R4f0ujpIPBM2TdoIdr/yJ7doX24SLkI3Mb4/aRVN5es1rLfoJyG9RXFkOF9XK8hR/f71TCnUc0L9
Pbdf2RyLoU+JBVvd7XFqajpH+xEe0U9AeERxZAh/rb8dIi+xaeSKoRwXTOfHz07FEGx+hmohDtbX
tryeys9+dLeoJ2C7df+RIbtJos9h/d5H6j7/8ZJ/R5NeBn1bEWLg9+4v9QNdDDUHoK3pyGva4miK
UNkP8v5hJqC9n/DIYL+NYDO0ih4OI7UdjixKn8t3d+t3IewJW6WhxnOE/JuY2o/67hATEN8lOjK0
N1NaQLH2qno4TEduaMUM22swh0DY42fsXIGihl4mCLbT/RAxT217387YfthfGWcC9q9QHuEE8KJ1
cIjwGGy6wZB6ho03o7A2gI5tymFWPBeM7mI/mafXYd8eYiLi20THBna4Okh3bkhLQi84QJS+Zq4R
aEkEggAc8BHUkzl6Bedt+ikgb1McG8Igzy/hqIBDLOfHSgPGoDXgk922094Ccs+EwwEM5ijrvJGk
k5l6BeedIaZAvUN0fGhvSu4ge3UIHwyMMajwhD0br+Wg8ckmdwWB0dHuZ8D7LWy9ivjOINMw3yE7
NtTzdDUtffTG01M26SwIqmxSHo+fcSnRpvTTdCBytrONYzJHr2C9TT8F5m2KI0P4a54eQoBDX1cG
m2KhpdzIHoP9OXCBYTg1ZVs9T2VkP6xb1BNA3br/yCCFA3xkpNJVfYhyfQYbbhA0yrdf218H/UjQ
pmCfjYo838bVfpT3jDEB6z1UR4b4R6hnhWOtpsSp3ianNwcfwWZZ8KyeS/T3GGKbRQ7noYyW8xtY
2o/1eIAJQI9Jjgzlu033z0P0GIIIOCUEegc+V3qOfWiQ2fZGXe9kpadztB/jEf0EiEcU/wMI/5rF
rUfenG/27x9acU/4+61H1EG8C7q22nCY0X4ja7PRHUNXUMh/7KvXhgaNP0/WeyoI3MfTfmRf0m49
49Mj/vqlHObkuddPpft5zp+30qvZ4wmBLw6m+/XVx8eHsw1HpM8VlPte2POl5cOf7y1wb1+Auhlj
q/Ty5Vt8QuA/VGuIr/z53sAYwp6b3XMIWj1a0CAKBmzXT5cIHGe1qTQBjc1hFmx8ZQn9KMM/35tg
XuNNNRnaQA9dJGHJq7zeXIL+NRA251DGDzEU0OIO/nl+402e9kEuf76Q55/fyTq7ySOp1Z/vMXxH
8XTbI6vIcqA+HLbb22DpU9jhCfZgcb+63XQ2gLv/jx5oXpR13V3JljqzpvXDQuQ0ZombsLb5YBtW
fxZ3jUxmCCX6q87N5lNiqq4UypHllxdvbx83oK7G3EAAGLo/QC0zHC2xUVovuTFlXyROWDdXpJT4
KkgG6Yua5Xbodo3OHdG0Zv2VNYURiSrjunTLuEoC4Q+KmS4U38kHR2t0DWOEtUfSFH8aLIPjRW9b
/hr3Bu7mv+aYQAfeHY6hNgy2QMMWWThmEI04jlgI2Pb6inZWEHh2N6SfGvCc6FyzPrdE03c49iLm
czEwu49EnyC6yJqqx17V5Poh7JTCbmQUlqfgcM5G6CxEjWCVlQSzII/Dm6R2zjLlhMqDkJvzWYXl
eZK2VjeLlGFfRlXYZItfP9UuDNCyDkGbJOhPCtHZx4d+MSlYbwStUaTqSmrf+ZwHHBNhJgSmRiHr
7qbtKueu8HH616+/djPXXs5FKGGHM/sYhSa4sEeJ0A1bL77WQl1gFiqQV5IP+AonYX0lVeVG3A8/
//qbYPnsfJMDbQgY7EyHxDIfzbNCmv1QVmF+xQtkrso2r9KFr3lPRFKEM1TW6eBS1PPcjanVZv9t
0mwmxfaDwkSBvkQmNPuF0ynHXw9edxQGMouuWJlYqyyurVWSbniwhkzN7CrPRY8A+kWbli0RZZKz
tU4dtWyd3rzobFohl7Zxnrgxk9knWhWEeiHv+3VhNIWHjCFjruXkZnVqUXuoxa/f3qal3Zh/thEb
cHwPnO8CfuQ2UMiuLWlZvnGJaz9bRZVWgcBGoqUpaN/L4KwNo+RbwJ3iohvKcG7nZhe5BDfsu2bD
kLt9GDDXzONmHVWUPTRWEbKzXzNpWjsgU5PCJNpYxhCJtBjkm15OJ7viEapCTS9jsyx8h3vaCYdF
pzvqzHVT127VlehDk/VWLcIwZG6F5UKRqlikZkHcJC2z2yK1sk6wtA2+tHGWL3ultSissvhkq4R7
fil9t87jOBKRpnEr/FjJq7Yw1HVpDHQWBNiJhTH4MnNJE2anlq3TWxIHN0EvaSfSmpVX2i8/apIZ
1LMbAi8y6gnIBrMeBoFaHl+kocW/+qg2z0Kb44sh6BrHbVFoZnCyUR8tDV71mWh7Pni4tQxviLv7
QpX6rkYGC0WbaTb3VVkvTZ+Qj2WI22ThMwNHYggT/xtE/apGRLI0/q4zlnlFocgyyWWxxKWTPkRN
YcO6p1lyFzl+x0RTmsFZ5Ve128N7WGCTONdlm3Uzs63KOcYdbmYpHM4ZuE0b8NJtSOjPMkUrry6c
69A3AuRhnOtTUDWkdSWKbcE1S//qMhSek8op7iyqrUXtxAaZKzsbVtzOq5lCXTzMm4QHc6Pr0Iqo
tP2ugqKw3IFoVAsZkCaYdzrOYXG07awPmprPq9wPvVTT7FTCrQI2yFU5vOisYSJWcWy4zG+ZYLnV
DcLUqe9SbchsUdnJLDDrHn1oKTbhvOMKpSKGmaTnVLeOWnSUdRd2Mgyp/6FuS51loo/SXlYPoR8S
MnxVrdGxLBROBaI8vyd9FmtaQQf9ui7QlU50lnRnTlQOi8aptb/MqigqREzS/A4xgy7jntLarQED
X/QlcjqAK+Pck74P+lCnSVvO7KQNkFulGvvXYYlslp8mPWtDr+9SR1/YSlOYUa2fY9W6NejCuW2E
sX/dwNKxA7fkBYcJRxOVzWUaVY5IS1Be/qxrIts1fLBcLdH7SJpw1qufZW7o1K0/b1OWZjPlg1Uw
t2SQDS4fLJCYkiRm7WZhZaSiUX2gblRkZNksDyL+3agbFiEP5UQvIpPX/Moy/MA/k5RpZsWu7FQ5
9KcKyjKrcFYEIctmvmqGcu5USkbzPrWz/hQplRWuRfo0clln9emiisrIcAFW8sUosgF7UHOQZB78
RcZ1GiNDwSuX8kucZU62pJWj01kSavt2qDWl89jICT4P21AxKVhIQr3wq6aQd6CM6VkcDCSZ1wVw
MMt1GgwzjrvBcXncF+1lxnuY2gYslcrzMa7PKmpZqRf4NKg9JhuAM2IK7BM5xHRYpwmcAuBxYCDz
aJ+F5RKjyDwNIpbYLkmSknpRHvneUPuJJYy2Kpyb2G9j06VRGQ8iK+LBOEd+as5x4QcWsOuwYob7
cMiXYYTbYJY4ZtiKzX0CO5EjYfoEtHS7NjIGobvI+LuCVnS9ISJYR+QKDzIaIsEb06Af+7Ql9ZVd
OH3uSafUl1YtQSUFiiVA4GQU3pYfhVh+HXAqw7Oyz9JurlpriM6xDvRHMybWyur8zBccw+Sd17Jj
dKbsIQLmaxxnXkrLRLm89WcRjsqvaduCZREHcXOnLLv9VlQhPW1YG/gznliICMl9GMdK87iby6rB
V0NXUPOD0hb+iLUBd7S2obircc+6WUOyODqtOkLapWSBIteRwZzPEpWbyRnHpVqwVIXqputNzV1U
toBN2EpgLFcgdM9BgzmfKUcwuzOQkpUH++66fKmV45ObuKqT5JZw6ZjLzozb+lJ3emN8hn13YyWG
3c3yNoOvzvNhaERHMj0sUMI2D79hvQX5BHwVGb4yLQlPUZcWvKowyZPBdZIGlk6RBkn0QVYMlnxV
g1UQwDWQqUTL8LrEZl9JQYsQAdxt1dWXmREWSkSoLrt5B3sX6KxvSrIRGrCYXHgiECCdgzd2spbZ
Zx+OZzzjTRRxwUMrgXnRB/aqlRTY6Kq4v6W6Q+o8ADM3Ps8LmcR3HLTFQkmEr0onKL9Caye7FKEZ
RuQs54FTn/thHjReX7GyBQO3p4uCwGt1ESv7+yRNrJuuVig/LVHfJF9aOwvUaeYb2fd+cDYyJCrT
0AM/gNNZRPpQzQs7c74YyM/mWVsEpWAmiLm+asPbKNfq3MmS2PIsUpEAxB604BdNSJzPVWw0wSwl
EpbJYPjUWZoyx+U6A4Hcn8HJorA22o3EnsWWAW+0a4ZmBkqmLc9xVRPb9Z1UN6BpaYPA9C7jvyun
cT4aPZjpZ4OjK/ygleyVyDBmzTJqCQzVZTgcXLMN7GBZACytaySOPR/yptGXXc/Su7hRpeBMnZpZ
11inQ2sDOAnCalgUaZLnl9LuzAtDIzOfhaXMmvOgb4vQ5ZbKwo9giagH5EgQIyA6VSOSULVKOG3D
S9ACfXmXBiWO/sL5QHkjBrDA+k+FpoYDgym/moXMSIIzwy/ab2GAjMZNmbKTZeQg/KFThj8sqrpU
0SwaapikEdExvemSdLCuMrtIU1EWDbIvTRyanduDdaNmbVgAai2XUSCqgWUgO5RKZ7ijXeU1KeHV
YuAlzP7E7ALm9X6PlOsXyi6/tFaPP8ZhBXMNNJ3zGeZ6pm6kIzEIWFI48Zxnod2Krv5KeN1yLJKk
YZ8sIsvWa61Am5emn/LmtvSVU4Fyhxk9KyIKaILj0HcXEdVJfsGqIqQ3pEOpvfS73IHn6jojuEwq
o2i9TPkgM8Aaq/VlmvrAf+UkwVyFPAm9tkNo2ZcmrPvetlkkTD9kl49W6XPs4ubJyH9ywO/zoq+i
INSjH//1Mc/gn39uaH7e8xim+M9Pl9F9lav8u/7lXYt1vqmQUuObtkaGb3/mbhO+2PphJ5TySrDk
dq3qVL9y8fVIys+TLTaRBmi2Sy0Ic70w4nfCKU9nBv4IsG1T/QynQFm/CeeKwrlmsE+HbKr6f4ZT
oEEJgxgLHIX0GDQBr+Q5nAK78+C4eKg7s6gFeWqbAWs/wikcuk1Ct0GoTYK2GLBd/m3hlB2nAzaW
EHCcKVjiwCfe7Ad76XQEFWvjmPL02sDl1yDSIBXr9BvurWWKMylie3BVVc+YlQnUsPlAgwunL69a
noEmabNymUVlJurAcCtWk3lgoTnK6V0bNWTGWV67TdBfIO17tpGDeYH154iTwk1xehFaZeo2RnWa
JmqV2V0gamw++CRSbmFkgRtY3XnHm4ekxqXLE9R7iNKZ3TeWwL0cZqg2Uq/KrM6DBahdVju1a/bI
dnUu+7nM+xvSW5ZHgvS87iwqYAn+RcGd8kAyPuTIPgNPu/DKThYiaFQisoAKKwTvUzLnZnDwl8Yf
AhHzKAF3y2hFyjT8aMeROwQFEVkW+IL5Sxroec9yX5QgmwRpu89DGFxqJs8LvzgP4ZlE3keVyAi5
baPEa4IgmyWSXPqYfPT7VM8bOI5NwEENEEtRDbhricGFadLTjPaR6/PiC7cqw7VRH9SBazVlFNxp
Ehd/g0HwuR/M9lxzdV1QrRYpbsHqL6u/uwCkvkwWWdHawqytXJhtn4ua+kSEPr8MA/KZloqKOmqv
DdgpOEuSevCINQSzwQGFG1SOsTDy+pYa4YOV+vkCjA8Xg0lxntsr3a3A7pqbhb1SPc0XdYUWcHBv
MKuKNss/OziUdylKi2QdBcND24W3A0V6xuoiZyKpQs5XFY6vfJjfS6QlOu00ya9J5TvXZuars97x
XdOpZ7Jl9qmu+ligEEVuaDr9FY0HkHVRnrULcNu+tLL1WJSFl7TL1yDKySnKA6cUlc3D4SmQ8Lul
4f+anNtsRPm1nHs8kncs6J7Ifgi6TaPMTdMHDq4Lh5OCIAbzU9BBCR2DEDAsTxCAmMClH4IOOvVB
XQZUTpsANYSc4dIPQQc1W9D0HHZKQAsYOIMEDh76IdG31BbEyp9/3o4b78QI4bxu2CwJthO4VtDO
dRRC411QOjUP6+s40sUZTx3zspLdOZdp6Vp19dnOMq+MdXIqc5YO6zBXpfGh7nvwZYfIBTcq/eCE
hRQ66T/owDzLVZbPyxSWPB56iH8m2FhEaWMKswjnQdKES3CykRsUvinADApC12lKOc9YkdZ3fVB8
dUJYkIbNwC8CTyd2C6LMs6YzhjOrkF3ouz3vo7M6Tbye+MapNqrvgSMHCL0if9HjHIJAOHGWaR00
nwuH83MS2cklpxJiHNFdUdOwmPGsR/MC88hrKgN5rHGkl9OBemkaEUFsB8wi7JwnrNKzMsCupYme
W11xxa2wEQ3NHRBOQycMX4PrFMr2tGrVFVbKcbUsv1ZtcNHjdhaCbCaKXCIzOG8HHQodF7WIwOQD
8cndtlawlAFhEfgGSIFKB9/9Nrf/7oe48eelVYYCYj/glocKnzpVfRsm9I7HSNbLwg4N/SHCsjyF
6I0ry9A+La1eyTtbI6cSYe2zRlDmmwuK2yYWlm99T/y6XW62ay5qmSTekMmbPlZXtlmcyTS8KhE5
59qY56o9MzLbywcwqUopUDy4VlQ8tJLcRtr5ehBT6n9NeEBJFeQY/vixNneMpLvHfYlj2fFE9VN2
gCWEMMUwS6EZL4UU0X9kB9R/gI3CKOyBhcic/cJI2hzlDJYQVGKDboTKTmDjh+xwTmAQaF8AlQaQ
DYA89FtkBzQGHcWPwS8jm1Zk1AKHcXMO7baRNNAwC0keoWvwtSPhZ0M8s/HfeQDejhgsH6xyW15E
vIE53zrkoi3g9xVh1zaW13VZzG0e3KZ1/bdSg4t6o1uoJPxLVtaiLNgtlfyygPiFUOwrhikq0k7P
Bpaca4spESirESSoPxWd/AgrohS1g1K3LLH2UFR89ePIsy1ybvUxxADK1QBKD8fDX8Q0Sjfr9Flo
yZnTxcxNhuhU1WCsxXL4CwfstA2TyDUTfdOx8GucyU8Dzy+cuPzLtEkmEot8N1r5pazqzwnOIKFS
W3MwCuYDG24iJ2ECnmwBflDttiBVeKRtQX2egEnULiExJBKjBzNCmgtWGvNKNVz0Gf8M+YFOFLpn
y6FOMIT6zPMYpZC3aI1Tu41MCCdX/mlt9AuIwS8hBC/awr5ti/q211n1KbX6VVoUiWuX/CwI0ReU
Wecc5ZlboO4ySCBi2gbMmFmxPNWNEbtdXZ+bplraDiQpSt866/GDkvLvwK8/9dxqRW8moRh4+3eC
1CaeSC9TZq4pKxrXsfAne/BL0SKzcQ3Tn0PiIBB929gzcOFOY9UvOG9nRRNd1AreWRCkptf2QWxX
Iol1U11ByAWHM5/F+UJbERi0Oo96MZgF0suc82CmmdN7EDCJY1HmqGIzEpl+M1OKameVNmW7jLVF
NMQHUZeJjra96WYkB5cvNUMvCMvSLUznMqvLcgaG970MqxLEtUk8ahqhICSH/2uR1w7q3vZrEyI3
5Xdu2TbESWOvl9kgGAb9FVjJLRuK/pxRdmWEBGJUpIAxkC1yI/wr7cyvknet23QN6JYEtJlRRJ5Z
Wg9xob6TvlsPYKeB459+DsCcFODdXKKm60WiyHkljWgWt5rOTKu56QgNPOokp2ZYfYW4GUSoDTOd
WT7/2muSiMK0Y2Gz9kFx0gqZth3MHO14UKQGQbDYCS7TwLgKvqaNJ4PgTHbxg9kpDxIfSyLBQE6G
c1vKRZwXHxoah7Mw6T4VJkQl7DxYpCEY7SYojgDZX/wigxwW/Ibj9kswlB8iP3V701AXrfoKGSMl
/N7Izw3GhsiDoTqBWOIZoJKEbafCMELlplXXiLoFxOOwvK37PFgmYXg+2PJqqIoz8C6+245ZuanZ
VGhe9kl1///1ypPzDWrgdb3ydAb3rl5BQPVSr8DBDMSCNoNwhA6GHRw/bVLQKyDT7U3zwW2TlJ9A
zxsEzY82VWiQ331RygBVxhj6SkMaFrZnQ99J9ha1ArbvWK1AItdBkEOGihk4jGtTmvzS984La0is
3lfXKKUfk1zdEWWdZ6b6kHRFLNrGDM8CBPkwbJ7GfR97WZL4c7+xW1d3tS9QWZSC9W3tQYT8FpnD
4IYFA5lqgihWA/6gUQli24GxJMvDWRoXeOkEFRFFmN5VTMZikDkXOO8ujRLlIpNx4bZDY7hGZ/ke
0yyepQ0xRKXb8grJ7CM0nbEuWTPIi5gQLXKblGDTgd9HUrYwFZiTvMlb1w7DQAyV/BhKDramkRUC
VWpZFtbc5zqYqQTC6MzM1pBs/QyJKkOkxDrNqXFnDKAU/FJdDpuY9GAF36AQBUSjVfdulbczWS1j
fIED+tCEq4q62glO89wPvLapIfE81DG8kST1ZNolHhlUMSv6eNUOEHvodPVQ6/YM66IVDoIHqhp/
qSp+0xusEL2cGcNFrfFZZ/K/rdhe5ig2hdNbyHOYdVEF1U2UdZ0wGw4lJx2+TuwqBTFSzzBHAAkF
ba2DQC1ZZSIB6adbErTmB8cI7zsiPyjJIfqc0tSNcIjnpMwJaPwGz6kN8ZXCz/UsTarY85MWiwrx
CxKFy74GjWhVoRdzedslCvzgocazkkK+nCtwTmwHEpk2RK9nQambu0Aj6vrY+RIYeSzyqFiUKD5T
CftoOsMKG4FcZH0iNPjicRM6Xk5CkLeQwAKhW5y2qCGurcszOBBDAX7lwqFZ7CY+luimMLW8434J
X1wpiFHk14NZ3Ud5my9JY9zABF85Oaj9Kg7kWZjgv6qyuawgAecZ3ISKkpauu7ZeN6zv50p3hSgV
908hJ/YtgyUqcmDFTcCDmUdtfWeRQJ1nHJ01cfy1GJzzocRgm+fhIm+Ni7LvC6EQR3Md+Fjkid+K
SqkrHQ+wfJqPYeB/K0PGTyWFLGRsZHc+mHCQ4ai/lJQtk1IHp9zKz8BD+L/sndmSpDbXtW/lvwHe
YBRwypBDZVZlzUOfKKq6q5EYJEBCCK7+W7Sntt8hfp87fNIOd7oqM0F777WetWmhzZBulyhxJFX0
NDKXXRktCMr3+oD/53weTGRgSkhZ6oqM+Q8DyoxwEr10+/JssOQuoaTwaPiiZD3mZp2mTKHHuFL+
ZHOL6pGxhQ9Zq1qdr1bJ18ql1UEwNt7WJEqzORgKKxZvl0zdc+KvdVZpBs2/9jKFthNfUC9K2tYT
/IeG427X/lFxyTJZE1aM/nR018Q9Dgk7xh5t9wS/SzaQYMlwLOosgW6tar1mchCHUA+H2iFFLVcN
f1hj7mwdD3daqHP4Uyi1IYuLtFKFDj04jPiDE0a3dZVmUpknz9anaJyuZLDcoKo9mBhN76q6PXNo
k4mOrplovBtjpycuI5G1C7vtwumuqebnpLHXqltfFYUN0oCPyjpZP4MhuAqte1iUetQJcbNhEm7m
ShlkaWvPjRrK2B3lrlsSlfmjvaZjcNeIpS3t7JWx31/50ySyRU3fw4h+4ZV3AahxA67kdqhjCIdG
fVAa2Wxq1teWQfIKhyQpYaJ9UV0McX2hmFf9/lGy8GSdXpamxVUDkGhpnoOpjg48JCLYI1zil0zC
Ao+4LP4p4b+UcMjJ/72Ew8jWn/+hguNFv1dwlGkoQODP3A0pJj9XcDCHW+FE/joOAH2hTv9GI2LV
LPZvAKT5pUxvQ+Mfk+EGvkEKiqIg9lwMjb9Nrv8fqtKPybT/mYyKNgKMgG0E1R6GoKP+XMJNbxWI
AhZclA1d3NzmiAZ9KLw6CDAUDjsZ+BPK5/IS+1BdVBV+HYPkrHFtFdFmGtYWwoUe2UnP0s2EK66d
2h2zZO2nwipzY0eiCrSrMpdy+lhS8cZ4VcLJvm/Cei8WfeUH/v3Qo8bXwzJlae8rSDr+WXTw5Csn
flJNKvM27TTsPPq0yvolAquA83a1ObHdJaqCizeTMh3kVdwOxyZag+Nq6JhPDaYAw+weXGPpJ/13
KFv301xFV6Kie5hJHwlmmVStzxZaWNb4GBIDcAEZCTtRBD3NXQsDIO7Z8+xNXxprwpw17OBPUmS9
iiGJMwAmGudtzvvgpumGq7YJg2wex++DYV5mHYkTs00uvBvRmVTDpY4MeupOw4PjqPpxJxvYjGOV
p25FbxSRboGSs5JsCNfviW+aGxPGX1eOD7enHbvz4fBlTI2fDOrRdS3bY5Q6OAT8ftkzoZKL4rYr
43jGtzaxMBsrXeVNZ2e4/oJlOJLJnhtYFWSEQRrauLpzq8Dbr31dZUPFWzRRQZWB55EZ74KqdJe2
PgSBbUuHc39fs43UW8GdEQtfGMcc7GXqFZ5doKCHiu9Ct6e7cA7acuy0v9cy6EoR1GcoYKdV15dG
eEe9VGvBu+Q7XWuS1XEXlo7iQbFMUAE8Gi/7Zqra0q1Zgg/CWyC5Dele1wT+hR2nferDne2qEegd
uIZ7qOzJfuojVuIZlPXBdSktjGmDTAWBc9diwVzWrXing8XYyIlLdknl6LxeZsz0supLB7QE7M+G
X0UomfvKZ4+Lr26nyRUlc5Ilk7r/kK2C988ICJ0hDa/6FEdx5W2E6bp9RNwXX2YV1U8CaEimWCoO
ywSc1reVzFoqvEuUoKtk/Uphkcb4jEdnOiQzvAA2h2iC44l/azoeQ8aLaWmqzjm4ut5NUVtSKlBl
YRJnXSrGDDBRl6EpmTKnnpNixBSYE1OTu9Wzd7Wd7sncNaXya4/nrd/eAC7TB/AH37VYP7Rn2E73
3pS1aTtec3jJeWBJ0Y4DOZJlpmfixGafUBHe+870zFOpncLVk6V75lvPy/jUf53xW8Wr04DGqNtM
JWzYO3x59JzZ21lWkdw16ZXofFLO8+JlqZkg9Kol64EjgqWqSi6Ec+WE7oEHwZNBec8hMT92Q30V
1+J2jlXuOPG1ir7Q2D9NkphXtMWfM9FnGzpOJmC/FMk8zRAuYnFIU11nfITTVTXu2cdPYz07GRN+
H8Dd5N7aXruz62UmjZ/XBNgkr9cEblX3TcVgKYFaHWW93AFPP08RB+fHTFCILpH7hkPCsYZFhV2k
zQxHNzTirwsFFzBWQbRbFnyF3tBdJqd6aC394srprQ9xPCRub4q4GU989t5tQwgGhwCYnpLVzps8
yNwBWNNwLE2tME+sXocey1yrZH6ZsC+viJ3wNrVxkskuFsckivA3tVujE2hN3mt5mmr3AIte5Aba
Tu3K4cJTvWQ1MKzMsWmhLR7fTEmTRYYXoOTIG5TlLiqlsNfC119lGB/FFL3CmY+OvPOyelw/wBOC
mpP2gDfd7pgP0q/z1qIl8Q2rccqk0kEfM+dN6sjMSO/gDOSwzENR+xzsJZ/vwMefW1+hk+fth07S
QyyCG6/q90447CvQcvhOc9t6+PfonSWc54pP3xWPb4Hf6tLI5ai7kJVT3EK1au5AODmoBVPeBsuJ
6fauS53C4+yxBbLNiDjEUyuKqeOPLdc58JIxE1TFWbesBwqCk7d54ioLgt7PMeV+0kksGeoYRDpI
NCrBXNS0eUXEvcvHsfynN/qlNwIK8N97I0Q13rHN6F39h/4IL/y9P4JyvoVtYJJh6zoJf1bO3X/h
+VYQMbCiG2LG5uz/5rol/4q2JypgTTuQqj/jBVg+t7Uy2HEFWHqz5P5WfxT8lWneNmFtq+wIbD48
UT7G7/ezxCGqBIXEJPLium116NE3sAru9hjMpyk2C6whX53t5Mt94K5osu10K+oQJVJ0H2Poy0I5
6oAhIirTYFzyaiZBVodsyFGcV4x2s18wnThZPJC1cGbb3Q5V+sKiFXPYGAS5ddcTmLzzGIWHRKYo
uQ7bD0v/QpNK5uuQXK/jAktKNuYApuSq6uoBMFB0tSYcem4YXxM/fKoi2FmaJ3fpDP1PjBzSyviO
sJQA+lQ9my7qsxmIPKDQ2OSNWa+JiF8sBTvoBcFr2soXYs0pbbzzHLePTtRd62Tuc2BiT2KkOGw8
4L50PsVreC9EvfMq583nNq+GagcVJwaD0Z/7WL76CbmBG1FnLLJ7YzFh4aJ41y1mI2FbljmxLjlZ
WQa/si2C0W4677CUSSKm0hizgPjuLuNswSpWwUEyn2cYy2/mFnNctc7ePmr0riYD1AZTQ0v1RO74
621AyVdf94/NtOzAOnVZUIlbG5LdwrojBzqY0Vjdkil+YgOtyj5cXgmHN8rnqC/QxTd5K7jcBXxR
hfBjtLzr3WhFvPNYe2W99pOtHdAz7T8RNnpA5XyaE5leahP7Ny2NDzapHoabkB0JJB5g5iey1HWO
fZk7HhvQDQOwMA1fRgfaABNLXhlBtzMNws9ayfdgWUTWdPJrExNZ1BpEgT94uzYB9OWiodbLgS9w
D7uu/hjH4DOO/E905NWhGsKbDZizZoDy75qurKG8PwdRAzZ4SVB2KM+lGK66iBzbyAOFynZjUkEf
AKBcLtb6uV8RGAU/2AcRTbqcjXPH+/lbujbzmEcuzF8XYss6hApe8HAF68bPBwgyKdmGfJ9CwEvi
pAjD5OBvGo4c7TvQ2UfuysKornQ3oxmXLq6j9EUGJsjZpgah9RtKnla2bOIJRjbwMJRy6Ee6xbwQ
RO19ahAB8mmQIeBxFCk5U6O8rNt0qLaqcV/E7VQm0A13waZX4bEP7s7ZNCwXDN5pgaxFIW8Fm86l
IXglm/K1xT2OvcJ7YXoGY7hCtgghtFTuepESd0q9qWhwp28pZDXWuW7Rb0obgeTWCvJFQ4JT8o6H
sMJGqHNJ0tGjJfLG0nbODBS81JffQtVCQoK214VdX8aNgi5vnaboNwlwjjbhc4iqgq3OHgpNvX7x
N81wPNf1UUFH5HJY8oHiMjAdfV82sdFfhmu6yY8COqTtw4PwoPMvUCidqvlsJtwyvpC4tqFiqhTg
0yZrpkh0ACRsHxGs+J5u2mdlcd0FmxwqRVWGyJNkTg+txVSDODu+ja49CKkO74YbawAqI0pQl3G6
0sJuyutEqcyrEWosm821GZsEKiGU2jblD2zE1RyFlXccW/gaIcU3DnwZIaBlvZO0J0ARAvTOnVnz
HpJwMIwTOnzcWGwdaOZsyjH8cLozi64LOejwwPB9bTpzA9ofdNBw14XBqYUU7VL3kW5Kh+ebK7pp
H8G6Wp4pOY71pbfe+NqkkZpLogSpczXVp2kyMNC1CTofIh4VwCm4ekvSioXnf3qCX3qC/2mlIx4z
qff/0BDgVb83BNiHgadaeshGIpYFfuYnywNLzbABBaY4vIYfQM3vDUGK56Ii8omVOGmUbAsu/xBM
gCKCDgS/A8p280P+npW+kYt/FUzwnPMQaxLxKyRwX/7cENiZVkDPaXhp1j5ejiuRXfBhWKDpBVhz
0HUQQBz/kNCtd53YwxJWYdbAFkfZmNzMo4RnSJk15ZTqsFBR5x7cucEsYwMoFka+e8ta5RhC3tdB
2aILEEMcFTm1XQWqnNa39QCWt6K67DsVZiYBT5wsK+aoFEoLUEOKyE0D19npTMlG3RaM6NMk+jTz
Yv5iPHLHA7EnbTfm0hbCrHs+gJo0budCNJZ3K5ROSeQRB2CU8VYiKqEd6BMgnDFhre9pPd4RMriH
CdMdJE7/1nd1ez2Fq9zBDBWFT1uJ/M7wPaDV+1SDbOycuNTLJ4p2VCDDVBoHBmrbiWvrhy+9qCCG
o5s4hAqpLXRWfd70HssCiUZrTdIx94w9BSuvS39cP6eE7iZpTl46770YVE8v9ypQ5YiYESZeg+kS
9vpogk+Ndr+Zoeimbgb16iwwDqwRwkdTRQHexDo3GBmSbXZo2/7QYZiwsn5sMVxoLe760T0xDB2g
lsG+R90dvOF82uYS1/JR7LXjJbuE9Fde1H0IxWCMxPSMufeMJIrIQ8z85ArN6njnWWgiX+qxrfxS
BbISd86ql37feZhDKrdxXwESpTIjpvkKvAQD9DgDD5++portYj+t8jnBf+bT/ImSqPJa2TTrjD3o
hd2EgiYlOsdlN2j2fXYw/NTJ8kbc9FGv9s4z3hfkFa9cub5xU6c5iVRQxlX4jfv2anar5UvLhiYD
VIaEYICG0CCdFrlQ2aPxDpj+IR4T54zc3OPC8bZAf8Eyq5ILtQpYGVuhWkfFxDSGzIakpSaLe1jj
714tQ4RO9LPRSBx0PQz9FgmYpkqDfeRwBNoQDey9CACsGXNHsq9VM6x5Oy3rLpnh49VLtfcd9cZn
eZC4bXKRCJshAQQNQa0wM4C9eqDr7RxSWDrO7UKd11G7V6QPPMyi9VNEWYX8kB/DzIKVgEAiePlD
GzcxTCJ5JXD6ZwzppmlIooyR5rti+tJ34btREEFa2BjNUt/A3Dn1AWgytHMngShW5geByWt4ACPj
LAMmMe8HC8xeMxQvP8UGqSZ5W2NZdm10dFX1FjRB/7DCds8cliCE6EdPscMeLJxJN51fBxbyY8/S
42qHE62S/kSleiXQWxDefXAIObIguTipumMu+ezD9abrxkMjcW2uZFmL3hNTgSTjvTHQKxD+qCa+
H2uWlo1NRYa7h3xRRh2ZX0/3NDEM4cN2B03wRLRq/hl3f0XpgXb+j3EXEtqPTXBK/6cCh9f+VOAi
PCYuwFjrYc3IlkX+3dP3/wWMFOsc/5D9/5h4vc1ASPFo4NiN/lTgsNPZg/YDOPQXw//vFTj33wvc
ls/GpIsYPf7ZJvKfJ960i9dUwDO8tIYjSZqPwHquWuuFVwLie53XpHta6gqDg3XOiUD7WEcd6k1N
CiYcVDhdP9pKn5rEPhjXnhcK/7tnJAVkkiAtxFeEMPXz3C03cRccIw7WBnh2NmwMuLW4fSeSW4D5
fEW73EFzRclNMZ6ldo+J+HuQVDqff+COvFlyJFL8cmycAaUi3E11neDkhWSFo/NtIbDGVBsuJVSx
rnDH/jEkMDfDyfExGlZ50K9uvsw6C6vB5KOgL23qFdonMOsViBw+f5CpyWo6dEXkxV9hyPHcEP5K
EPgC4kOOgU1wfkC0RazxlVThPon7NadzsGM4k7JAdQefmKgwMjkoC0R3AUaDNKD9WCT96LS9uJIN
ODr1G3dTnndhs28ae4RULHaencdiNJDZkqr/VrkhREhPvPYywvSzKZR00p+E+uuNapZ33kf0hMYB
ueoILBdE2NIRiXfvw6koQqRyc77ltySKx36em5MXDQbdLWQGqH2j3iEdnq9hzNGXx3LXLoGbtwjp
lglDk12lK+h7X6jrxU1s0eDQ3iXw5wvaOkuuwZpkI6BAmARIDi8up6VwFT9hwGv3STrrBz8y6zPY
DFZIF2m7RrXuNZxrJDLmpnmTI1xUSKvkFeNgd69Gb7hlxOfHxBvteUgphpSllVdIw41QvcOwPtNZ
9FsY1J6ncW39bO1c+mET7iRILznDUfjuXSNTr2Rs7p/cBR/8nmIFxhcHBNb3MMFg2G1I76yXqWxA
+S4dYBC1gb9mQ4DViJglmGCNE9aCER7ACisww0jEprkzTDfjhhPTDSyOAYph+ABsHG/YcQj+ONxA
5KFzsTBgQ5PBKCNFXGXNhi2LDWAmG8q8ho1XyA1vjjfQWf5gnn3+EP8CQQOHlhsYDTPEPKfIIh8J
OuyMbQC1kwClVmCq7QZXI6pa2A23/mdO+TGnhP/zMH/49WE4/z6pbK/76SAP8bBPDxEnAkRrmzl+
P8jxjAyQUcAQf4C92xDz60G+LZrBwhVsp/ljB82v1i52i22rZ9IEk4WbYsD4W3SW92Pdwp+s3dDH
BhYYzz62XuBX+cuk4lFQ681I5K0d3XgnTDgD7Q8BJYXzgcW4jcyy4LKFL3IBneyekMIFMEGQjj62
IFJfOYIs19iYA908CIaHeiLhIUK69GZuaP+th16CdC/IUdbGS/zDCcv71JkDuAWOvVVw/y4DAvxv
jkv0zqOA3HI4hW2BHTMCfWCffkscdo/gfHSpPM+58is2I82I8oLFIBHoyHh8mP0IsV/FAL1MQoIW
mxwIU9EiQTa4OmOB8j9lNLWvkduKQxUpUJY9Ve8G0yCo/oTDOcScENfzeJqY6e/mWpTtxPWu4lVf
mNkLzYU5IjRfJfyn8OQJui52p2Uz7b1VT85nWKU1u2Hh1vciCinGS7zFKOLKs+yB1SkUkHlC7HTV
wRrPNwlcEZK5VchsuJPtnCDm3pp+dgowQS0/EUc4C1r5dvmojT90pT+nu3Sg9o3MbfAOlAtZJ8cS
satgNV4tE1ke4K2v74i6RyBUfO6eqhnIL0CRdE97U33gSuK5K9b1nSq2fhJuX0dn2ImKXzmxVEXn
EZPP0dgfEMmsPMCiEwzWJXFOlaeXcyNtX0Q6bWxmO4lVAnyu+E51OoBAZaAR9c3wgrrQHlEcn4Jm
YIfeGZaMuTMGhWTUB1Ir8pCwvjtqR6dPvTuQG5sObgHQd5u9dCQfqXKRrASa8uHEs3MVtDrOetj3
deI5xagN1GDHUbbEbDzowlLef48dqY5LT8U98srqGLkr+VKtXlysaVw/QZ2uz3Ed1tfKGeo3uMYS
7F+8nFWzyrd1ss4JFy9qfCzmS12N9DVZu/lJYAwr4W7xB4fb/paZFkwUAj5A7sLQKIBPoQc/LmW6
VDZSRTUuc5xXIiIH3/ifKcH53gZXsZ2Du4VAKAXqQ7zPXvbrbuAu4sK9IpmeMVL8cxb/OIt9JJ3+
e2P9y2PX/v0k3l71+0m8xS8AwcKi2aSejaT5/ST2/gUN3SWAW7YdXhvf8ltLjWAreBzks3x/i+p7
OB//gGxc7HBM8GD2BA06Ql1/h7H5sUbpTwcx0mFo2vGsWfhIeG7OX9Ys0QlwCEIWy4WL22CB7ACI
A7lr3Cl2BSDuLug7Ul+ck7W9T5bwYwHRlsfOChKWAWJYuEJGXqfAINMLMCMJJI98pKy5bqf0eV2H
p2AW36ep2g0OCAGexm9tj9s2UQTO94ydCH53lnMA9p2aNGvW4GZ2B5a3xN0ou+aZVGTdBZJ0UKeG
3Id+A80+em3a+Lla1g+HJiKnTXqYh+mp4fp2TMMb7Ijy9m6aPGCpypOUtrqhRl/J2QBEddTJSxCr
sMJgypR4zyv4T1jdyXREgm2HsYNmdSR2gjkvU8/zVEdZ5Kc3LVbNrNh1UIgYBAQVyitXgBE1H3ZD
0iYF1iVkCBR/kym/AMElWcWHBYN1V3BDg9zrFRwxOEZRHfAcoVDkYoVTl6kTvXVr45dkpnFpudte
xZKnxTB7gAMxZttYbjCBKVqsNSqw8glHOoLsgTc9kAVA3TpGz6BBhyav+Bg+pPFUaYwzkQRvYAlC
MU/ePK91bhIkwYoIsbkNVtaIT2Dhw5alYFuugsq1w4HKzwkxZYPohdtaME3IYiB4CrClqvbWRU4j
3hIbFNGNcMtwdAhz9HV03W7pDqPXL+gZWUYULhyGCAg2rXzh7eeIYMgQthLqOo5MREbsGNc5QYhE
+q6DBEGPzHFsrtMtadIswQk9/csSkqtuy6J0CKUMGAeewk7dV1147/2IrczHybd7W9f0wCN4LA6n
B+hckPeH4LRs6RdkKOLj4qCNWBGNccyYZARhGWSI9i5HYAaQZ5YgTrOmKF2uhMAfVqJIDeAbg/AN
5wC5XMRxhE93AeI5ykF7PI7T89q2Ly0CPMj6dXD8hlcX0R5Bm6cFUZ+qG2/tlv2xOjk0CAOpUSDd
LdmBbjmhNgRwhOBQB80q9xElMkAiBKJFekE7gKhRisiRh+gR4bMuaDC3WBGBXFI7to9TOD6xLbHU
T/B/EJY4NQgz9avXZzp+G7aU0ziR67GP71cW7t2AvmDLnd1jvMg7BKQiBKWwUGgXIzgVhNHFbkkq
WLv+ud7SVQNiVmuDbXtBtWvEt6ZB8tzoulQz3Us+u5BTQwwE0XLLSVQk8DCwfQIDqI7V6zopm1Pi
v4O3EjDdGp27CFx6EBUzY5ZHsgJItRL6VDDGj0JUp2Rw39aEXQMHvQt8Z++5jcjSIf1GITp3aYLL
KB6OZupwAdLHtl5tSWv/M6ohVnPjPeIyfo01JC6PyhvNyZ1KA3h+y1jCt76VdEbkXHlhTis/LhgV
UdYSlsIQGj0MtLa9XZr0vmlwrrClH47UMLfsELfcCZJ+WKqxg224pd4IiTUGrq9ml+bdMqTlWEen
PlHhLfZs7J1FMth0ZqgfeuF9pUuAGGazggSU52CtPjzhIWQ6LeDQUqfUjX/DdFVnqsdyk6VNxC5t
8MwGcEfASVhTjE0Pxk0PKUJcKT6BNAZGHKEJoOF4RnNx0r53xSfvyJi+HytjYNYGR7KGN3ZyTrLD
u+TNUPQaQ3G0OmGxYAthzbopT+LwH6z2Fy1tS5L895J//T7yXv4no2h73W9FH8taA6yfQC6bhMjB
bI95/r3ou4hPRkECJQ2rPLck9281/0dcGytjfgrU/Fbz8VwcPCwJs1kShIhLolP4O0V/6x7+7BMl
2Pa+TX9hgHnO9/4SuaxHp/Hj1WeXzl1Des3QBH+xnsuSYzTi5ryVzgxIYxrIF8KwyO2QOgIq/Gyd
+Q2LXtRzykL5kKY8WrEScZqBHohYv6gABg/2DbVxSVgNbIA7z4ijwUat1hCsn9/kviWwnMV+Akg+
GfJYtcv7XK3v0PKAvdl7ohIs+iLu3m87fvEXREe8hmADGS0mZ8TKu3pEeYHjU41G5ZW7vDfDaPJh
hicxIdaQKQ/83LImLZaAJbtWQPtwBCC1aMIWoGocMyw1PfQduQ9NdN9x4hUNVg4u1N6syVjh9Pfe
BzE89IH/hSV1kEk64kgQoBkrf133CU/B3xnJcxJG9zWJz/C4Xv2u2TVEtOduBPbGGpyl1AdRoGIv
CxFtybC9KMn7tblHYXkCPNtfB1j3iYBQiDTK5hyMHdYJzaFB1AKhd8RdLJaciqo9C9khrtq/BgQa
oPLcvpjc8XNV44L1XuBeEzUdWlWj2+kOXqOLPo7r3eKkeRiiH8F6EthRgGxZjc9goB4cdPQBBy7w
pxA5gkyk8lmw5lucNncJMo9J337Frs1HIregua7DM43okfcbUzFgkVsUM3hO2MdRTeRcwdiErRre
Awd5DEeY3FUUfyNSnNYluO+XBKadm2B4QcuU9WYLzVT2JLiX6208g4e/b7ljMx/rDXOgnxtR8lwT
1RYEaVUojLwkvX7AeAPSYaY9prpkFw6xuZkAGCGLpBKUvPCocYw/J9uukrGZ7lZj0GUF7EYgBJsN
jgsReJmesOfig5o5OoCBmdCKuDt4Ry/YafAa0yr3R+8dLiZ4ne3XcM098rW7ga6XtuEIhvi7lN7i
YpU3oZnObdrcrgv5whEQ2olm9XajRQQlxGF+dJHy1ASXnRfVZwnGKgFdDVUsecH6RSfDlimeewDT
c2fku2ZubqK+uwTpeMI+71ujkiFDa4bEaBzunGD4Apy0YJH/1AFLhckTX/WGXBbkfTJBppOT0l1l
BllADXlM6viDOPZ6JNOnT7tHpeMj9jWca9N4R5fFWN2CraHI+eB7AKf0DetMcIutVZwltp2KXpAL
3vw2HrLXYYSK67ndxafe7RCFuyFtPhwHXtY2M6NUoUwF3a2eZHIWATvFnRYvkNFHZFIgdzquaE9O
O2E5H1vQL2LyyOOue58pbWC2tneeoq+tI5ccSy3QgabhIU3Wcyv09eSBZprCN2wHe9cB9m1F+KGz
f1cjENvSFOisvkCe3YdBeAiwN2uHVOn1hMexZyJEPV0aUYQ+6PwQLPASsStsUwxO3BuREbMNlp9Y
4yGGswog2n6wFim6poNXJy9TJ0DRSGzxygZeKyyfcPW+U/jtKyFl0dvQv8WmuCsHUPcNw42FhaE8
uogYGd/IjPhydGxf1kFU96PntSfM/tFe4yOAaOC0By+GsNL3EMoQOqeVmxmi2UE7gQNWiuFHL73r
7ZwaOZ9/JvMfk7mLafm/l+nis/1/NzAGPv99ON9e+Fud9oN/wRoBq+n9ulrlpzod4gGE2LMPzOPX
VVC/FeofMin0UwzuCDNvCubvw3no4XlmCJ3C7yLBVuH/1l4V9AJ/KtMh1kYhagOBFCtVoLv+xe3S
dKpVuwr/VgB4dht+jqsmD8xS/vTJ3P4y7P+8vsX/wYX8IQLgnUDZ3Yw94KxYtYx1rH+21bCEtQH/
38y3UQTTWmPnX1hG63TVcSxFk37VYAFlDKpZy0u6TOeh6Z9iH61xj6xhPmOVadmMXnMyY5QWcBqw
j3jRPHOifltjNb7Oqu/zLmG407fgClPtQ48fmPt9eytdDhc4FlgeN/hDkWB1H1SxbgtFJKehs3mK
yE4uPIV7FTJXEDRiR4nZYXm5LiYskir+j73zWHIcO7vtq+gBLhTwZkqC3qRhJtNMEOkKwIE78Obp
70L1Lamqu9UKDf7BH1cDRUjqzmSSBHA+s/faNbNB6ZhPiuucPLP1FrzNZ0aiBXZ664KE7F7JhrOi
WLQJ6lwxIwQH4b0D6nfugyxk06I9stlOGYx2na/Pe3ManzvYgGsI40+eW33pofMaZiPVD3qvpHUQ
ZYzxrVUFBxvu3Rqg2Ja5QbWpo4pvqKoeCzvcxq4ZLlPs6hil3nOAEOsu4wC3O8BT6TzXVNrZfcEx
uNbonbUsm3dc4sZ0WV+NKdRPafjMQF5bR3us6vBUDFm7KLTx3inbDTvXLdpJjhS2UvyhRoyxETZr
pFsXhSnNkj7CXTreq9egYTQGvy3Z5dWtmSy4IHwXVRLfn9igXvzmjqhJVds6KV2LKiDHYVSirdGc
8az3zEpGxDx9pHFgaektkEaxNgzG4Zl5CsMgXDSaufE6Pttonv0qttX5svReWdRu8WLdF/k0+sZU
Xym3pmUIsG9hNOml7tudZiWdXxnqhwrMfhH24zWNY2szGNONPmAUrSPRwRasPrVU/9T7FM3MoG2L
1NvhJNcQ0PQbrFh3GfRl5iT20TGmfGmn+cck5HPk1NEys4sHpCsCmoKTbPvW2DhOv9SNYI3TAnQg
lxjmVbOPVozMy7dcFGG1nlylGZeWPVQcgkMSd4tRr4BVmn2Z+6rTrzW3n20V1bBPU0AG+qgt1QDl
oGl89qq3iy1t3U0ISQG8y+6aWMZs/ug1lbMinhUpgxb7idB3BkpIDR9VM8tk3fINAda9lihfrGEo
XRBVFFyN2H06ttZ1g1O294ue41zJLOYIfXd0K/RMCntoK05wWtRdPDOL+hdbOPVqCOUpjGlcazkg
+ppZnfVRCihpTb3t++YZFDXVucdwSKggTYtTYnPLGnlyiwzkkCrKbkrxaUVhFK2mYcRR18Wfdg9g
WvQUx0Or3QPP3QxF85UgzYIHgvnFls99tcLOvovMCoqqsh1t520Q6utkjcnSSSl1x/Q1NS9dX2ND
aveyCBepgjQor5b6GskqBQH7E5DZPad8pxvrSouQGE2y2xiOaNaqhhEu7MzXuYBuhqL3A4Xa3uzl
pmW4MRb0KYXAEDWaVyIAQMAowJof5iVy6JogUAo909J/9xj9lTgwP0U5LuZmj3UWIkHEfL+IE+q6
NsxgtMfbflw6C3MT7IdLcQIxslDe8ie5SnaYThbBAfkQc8ONsfvrx/jshvz1Ic7Lew7nDq5ECwvO
ry9fBa3VKXY73XbOmwx2Hisob3hViuy3igIA5Z/Tvv7sdXRVwx6qz4tC9XcTY+ahlhbDTL3VWK+h
NEjTLy/csWb6N6/z6+n328fJ58kZqBF/gcX91/dTotG2Wi1Sb23rUNk30kC1az799Wdm/tl39vOb
+d2LtJGq1jpwvttuXV/xyK+6rfrp0gYtilPGNba4r1b0b2t9+3h2/XRx7k7x+lqvgtWd2PeLLRKI
Y+PzL/rFmv+srn/9982Lgz98qTNRDToSBCciQ379EFK47+jwVO0Wv+k5uFNX6kl7Cveg0lEz++Ni
/6JthuW5XPdby1pmB5SJdxjx1gAVl9//lP/f8XwWy5WfvpM/ELb+kfT9x0Jy/sEfhSTBLibjFN0k
pIW1Ddfyj3kPmcZobXQ2KwT7sNnldvox8DHxWPPNkjoBpIZpzE9OaoOo+5lOSmXK7cx66D8Z+Hi/
3koosliy69ADWfLYCABtPE4/y6YifdZMtYZ+qooSKtZRQRcTpQvCwuoMAIcpkhuv1Y0EOW6A9zLu
22mtjaPmLKjjrBsX2uRNW5QKNs9B2VkAq08tBCq/1+v8wGgzu4wGi8x2MOWR7LPiAwJ4v9ezPrmY
GtttmAHgx5vB+QJAam4LE5msJiorwlrUFK/chEyilc5jAtpL+uh0k+ha709pbr3TzWvfFCOe0ArZ
cbv0orxYwHOgXHMBhEkbvIMukO6rIlsys09us6wNHnS2pPetVNLoogrkVOA7Ha2cdpOMOAjx17mU
RNSdoc4L0vADOOlY30ADwXhbjG8Wupm7quKgB59R6WxIJrtTz7YtQYFZINgfFTHBbS27xHGWw6z9
wVoNyZ1ucCxfk7Y1dmaXARvj1PAdPAqVBD7dSPzruRX5ald51qEDD/IGZczWsWvD3YCdg+NTKTtE
XmOcGwYswlrsxggNEyQ9837S6s7Z6p3FJN4RH41Io720A2M6WaJsdm7pxt39xN56PVZWPuFV4cIE
Tu/BvlY2/30i/Lb05Ub8163lbfr28VX98XGg81M/Hgf6vPSlBbFtzuHfbvofz4MZ5elCMzDwjlm/
iSV/PA8YGmu2MbeUHtWrOhOVfgyA4SZpMPq+lxh810AX/pMBsDcfG/+sFSzVoiPRNBc4MZMKpsC/
a/g6KGtmw4Vx0wxdsjSb5KnoaCuAla9SL7yBdSc+irjLqaCMB4Mwk2VnKMHFdfpvSqSuddsyF5NB
jACZHiuGPe4ic/DEQ5d7r8JEwz+Lw7hr83vu5ZDhZBFs+i44uRlydjBK760RX+xueoqyBgl/2rQL
XZrLoYiybeLIvSHrjN8YoST08jUCuguv5fcNz6aqb2HEt9i2hduKJXflqUm8R7RQEXCU8FPU7okK
7041h5uIkr1wWI+xgrrTecqsTRcOsDA7MGlIoNG/2wtHhz+Qpcm8KVqwsF4aZSt2bPOxQkhtq0WA
JLymqFdsl91VO0pjZSTBxk7SagE+wNsG0nwgSALFkue3MJRbyUqcAVq8jDM8GBqRDRD7ofWp09Xy
PhmeQpUB1lJne6drnlsVAqpENb+ghWP2OLLhtrs2WljD+NVB9+80Z+0YioNTILqGGmhoz1WWqZsy
caywUcbTVujOTR87Z4eGMyyqa6FY720Lbq5INkoy+XOvV9bajiyJO51HNXNa+97lEwpivP5KUZHi
kZ4r07u3Y/U9GSaMS0wLeKZqGBSc/jHTzRfhemdd0jw1XW6uZashJxmcA8OzB1xrtF2TekXEny7I
UDhMRgBUsTpL9lJhlXgoXdMvmHmvQ6c8SKM9DtFw3wDIV23luVXER+oJ9uzWiNJVMpKc0sJd6fg0
IBpdYFHHoBYA8aXJsReOX84oJ/ObJq0VMQb5Yj6vMHDWvm7GlyISiH7cgnbe2UwCBGyVF69Gbr8Y
zPOW+Ti8mW3P9aWVJZyGPGFzXRy1Lv0MuCK9ysiYIBYbLbX36Ju2hd18doo5j+mMB6sON2EcKwvW
4LeaijhXS7rBB4kSLSoFipgStWAbDOpH1UuuouFDmljzg77GsGJm+n1jy5Uns+2oZpW3qptc7oOw
D89wOyB9vMAIwcZpvGTMTwqCXrYRIRDIt8xHPHXR3dhX3i5I0mxROPWwMTvwmGrbm8h8NbEa24gF
oCK/WaJvvGOvEfRwF0SBGFfky5TTY/ddFWB1g8u+PgwS85IHBjt2JTSusSmKlYmqgP5mAtxjLoYc
TS8BA3gjhCDCxNuQc4IogVma3/RVuo8BCayyLtBWsjdeis4SK8pVGJsRl3TeN/YiGkjsAhazxJLn
EwE1XFyJBqKIopshmj51dhRxGbp+jIpCRU3RJhmyikFDoQth2p/jfVLHOQ+muWjQYkyq+xSjzYhc
C0cDag27aXYx6o0KRm6KmiON27WcN/gTOo9C1pKqotmbUR6eU7QgiWlf+HS1DYyMcy3Y1KMa8VCP
VAZu4zDo32vbvEJHes5UJ13oKE5ECs6iLKdpzUriaiGcWyCVIJXBIMRjlqwQlQduIEqPKmoW/l/g
AbFAnNZYL3KWvOilsqqM5BsZY49SOFdZxqe0Mt+rmugrNYNjinrGbgsVT2WEVxThB1UXyHcGCu+k
HN27qG/48pDhiKmHkOw8Zh2Loik1mqXVu9GqdPGZztteRD7YtlkAFw0308ith+X5XEcAreZdcczS
WLA8blki03EdEGgfk3m7TJHaLNIeC0jQZR521SxdtI7LzAS2wipgRa1EExpsrxTrpvVgZpFZlM8b
beDq41ZnyT2FwZsyZseI5bcyb8Fhrnwo8158RDePF7vfytrMoR5Q5Dlh+YH/lwlhpcola+vH2LUP
kZQf8YQCKdTV7GHIq62S68wZ24zQCL6N1AnWCDsYXQUuj41+52Qy8AO73UrB6SCbD0/vwUFnKdda
nbU9K381ZGtYqTODE4t8vjJtr17XARkur3rGguR/JtDhfx+FeG7y/3VFtEr/5hfV22fxx6Jo/sEf
RRFLcQRtMBkNk+nir+YS7e9EgyFD48TVcHdQr/yzKJoFcoDPdaqf753QT0URMxcTfwkMQKopWqv/
oCiiv/p9UeTye3i6qdRDSPK03/XaZRgMlqJ1ECPN4trPyLgOdpzCemDhiLq6JbkNsBwDxWfLlA0A
W07gxuFgdjNwT7XS5dwGYKIIqqy4e80nfNOOX2F4W0ry81CPQVbK5owlBsfVsjHbYlUGHutruD54
pyfydJl54tqIMJo4jx7cPCZv+dqeYCEivd0zNAl5VjkggIenYL5hOyEvVRHBKlRib6up4Qdy4YfB
UA9K1p4LNUJEPWP81ErQElg8nFH7HtM+3owz9K+A/ofl/iVo9D0nU032FQdAF6brsCRXDPKquoCl
9G5jYtk2M1iwImdr7RXDl13YX47rCR+aUOvX8Ai9wXjO9SLfyxaxF2mlb3oX3UUzxJA/88PLs5vE
AjxjdM5SieyCAw8f3UpXtU2CimdjEXgAHGYdFkBUApal9FdfdqqthjkcoUjlhgLi06n6+95Owi2O
FMrOziLoqp8Q8cUKYjVlQAHNdjQO9WtMFEM3ZzKggCjQgFMS5LIH6UR0Q9r1O8NuXkl2ItrGIN2h
xeIzzXkPrjpe3VT07u1QY6uQzYDMK2Vs6B0jztZpPmQDcAarWrREoQ0AdswpHTZZDNSC3aG3k/NR
bST6IxgYHpbzMa4jaJrCxHiZVFbh2cLz2ofWTsMzZk65n74XA5GSbKVVrHqh3muY+RnEusAJoDqw
Ro+vM+0BohH1haHgMDdC4vykLQffKoghVJTiNhRBgDwCa6KtPjgK1qZegOVsWR5RzJhtzkeM1SgQ
w5O04k/HyI6BItBtz5VQXzXZwlHaN3R2ePpN40XR01dWEIjzKKRGzyxwSomtrsKKmGutgaJLmauv
cnLXY5746NtAgyZHO3DIgqRkI4Pykk35NxDU7or4PXthzwWeTEKiUKn5NGo/kOXrkVowjZrjSG0I
QuS1oVZkkYI4jSOspIpEyvY4UFWOPScT2oprmFFwRlXwQAbhoRF8QlIPzbUxl6cJdWpOvRpQt8Ju
mRZpmIKqVlg7kDn3XlPl9pU4h7Ja68EMVXW6G6T298ZcGGdBfFdRKRPGsDRdKNjgTFu7P0gq6nBs
rvNKB7014DPrJqLyNqjApcryH83ks9W67kaECnzvGHsvjzlEnqWC32umMwXk6C27uHquqPwNrzsl
hr6LaArauTvoCKpalka/k3PnwAULU01J7wGPvcu5y3DmfmOy3c0czLQCJeSugrkrQTmTcTJjHp47
FiEzQdqZXA41wMu5s5mfuDyltGKV0PYUTDqoSBp13dISoZ9BX4ObVuUj4Jl0Z4z2SbTehzV3U9Kx
H3XbPBlmKZbG3HF1o8QhNT/iqmgiakW96LRn6dyn6XPHVkO58zQr3WZAMrS5qwvn/s7memun8KKp
5rszd4Ch7p7IcAg2Yagoa3ac9+zFKwhvdI6j7rzr2DxW2txVmlTL49xnZrFuztbhdQKMqWqm4CJK
RK1xpT3kc5/a4h//kJFytuceluwB0mDipz7qbiov2maW+21iTbBq4MBAOVOhzpWSoN3aUrCe11P2
lIHzC0+THo4L5BtzJWwd8A88eDPBsppZlkSVvhZT7MFf6QzqsOmZ8o840K5+txt48FNb3Zpxeo7Q
NiGpfh2AZmozPdPIq3066askBMTdNtYdsMxT65FFaM/sTQGE0wXGqSqY3aqZz2n1aCthgDwYoDvj
AIcjKE9Bl4JX350JX9MzhohTXY7XzOrvZC9uuR74EACDZgBCJwv9XzPz8joVrdVMER08dDRgRTW7
3lNUHkx1eMx1nIumdWuDIZUexZnLfxlmQqmT2qyuLKilno3oNZ5JprmqNzQXtt/HcpsDO61m6qmT
1Tx2bHJ1ZiKqNbNRAaRCSZViN83cVCUh5k7MJNWZqQpTUd9BQot9byauFjN7NVErWu2ZxxoOrFJn
Qut/51Tf51SzdetfV2WXt/xvxzau/3bzHsMZ+GNtNv/4T7UZukIKKU9nbMp86p8DbB1NA2Ntg9JI
RY4zh2z9qM2sv4PD4DHGP3ARRMD7/EdtZv4dfxc/xqLI+17t/Ue12R8qM48qj6Wnzu9jIP67cVWl
G3ABbCe8CVFBgbyPzejfLJuYB/3yGggiwaC6/CLEFoStfy9Bf56RZzxxPZmOA0HjcOei1lsPui6q
tZMNpwEGIUFIZP5tiKMhn0KRFfqoxrUucJvguLiMMk5O5Xj1DnxneWorhbDbrEW2d7JtRSUPt27H
0FdRAE0oqtVVIXtVbpOIRNQK0uBmGMh+rQogDL1ma5sqMssVLB3WhLaEXdrZt6Q7hxuZMLBv2VFv
YiVM9VXInlPZ5BkQ7kteTdE3xBjd2tBi4JVArJHXM/k1dbH0oFipK03S0q0iM1ONC4VHAqC4HMq7
Biwn0anTelI0ZAdD9GxIclBBPdA24V5OPHaXXbnpkJP1ra0tnEY5Y1m7WonxwJr6UiXTMcy7q20R
a+baJU+q2DyWlUlsbnmMIrHTwjDZIaeOfRg+h57xvatmHHthgRp/gEnMJGMqxn1lqS9SiHGZpg5W
NaiBVWyLrZdHx3ZQ3yEhQNmTzLPMAEaZm2pfUVqk/uh5q7Eg2qDxeGCFppGtm2GwNrkRTAeQZIcu
UDZDliC5isMN7IPKJy1wGU4S72x8ynrLWAWcdIswkptpqnZBFd9HZKhtRA42JFSSXTXNskdqg7we
WApG2QX90SEyOGSVUbU/yLSsl2PFGlzV7fVApCFiQgzLJsFmGGJ9BiW7QZan3kTsopFnsEjIHWUJ
BBkrFNbFMkeq5sFst+CtLSCBno6uj2ewOjan0gZfFHrVrksG0jtS9Quz+KfGwbapyMI9GF6GOS5K
rPhO5m7ma4MZW0sNDT/tlrL3EqFtalf9SJQILIxybjTnsYmUObGBwGVU80GCV9wgUDpz77ocYbrQ
fVEFq1pT0FD0SCdSfeP2je6XBh+8lTvbWu2esCFSFsKCYgT2yobkVKgN1TfCCCtVbyd+aaflZONS
/ZoaGFTlTa+1L0UZdoU5HQ3cwZ5zBUtZuNMeKZ27tgQ5Z471WE7aIsKJ3qHhbBu3OZhZcrT08TYM
hLaEhGsvsP28YDB4MRiXszjSjpxh0EjMG0yAIyiUZTS1hM6RCYny8sEd6kcz6RBFJJTMUXhrdlJf
qDGc96yLiQ5Jdux80sXUaVepRA+QsR4BVjO+69dOKL/pzrAvPWVP2vSEE9vel8LbpDaWZ9epUT1p
RGq3ZnNv9mLP+ztYCB4MJptMA9N44RVVtNYNKc6ZOSTbQcn0lwL/5XONUb1CYTMGaDyD5H4A9bYY
4E+umGJX2FqayC8VcpZEOut48YMvSp20qZ7b4thRxp+B26AtTOHt18tW2vMdBsYBZoHXdCu3DNx3
ykZgXZZ9VWrdXnW1fSZtGw9TKgnFMz3wNJHBFHRs0wPGSwpc3bpvVEjJDKNKP+yku9A0cQB9eclk
Aq23h/jfyRqfiGc+2/ZF8M37FOuT7wx1DlcmtU+BjPiwJxlTtBTvZkgGi01fxC1HXrlpPaihTPgc
x2QTjuFRMGlCLBPcJU3x3g7eUhCg4grMZ4GiXnCWvBiGfMUzvILzsO1E840+8Ca1JrEOAzD7GGVe
IIisWZS9zpHGdHP0fYBPEaAxjWsICFiI2X8ZQPlBfyUQqYtS/8zsZtjI0vJF3r3QLG4oeiQcCOKE
GobcFV9z0tMnOE9aXl8JQX6yNBQVZP5chnQ85l6/bUqNG7wXT2E07uKeW3QYTh0G5DALiL1K7fum
mW6s2n4ZIutcsA5wze6pB6Ko9WDynalbE7PNwwKdG98Gk8/kdSpjpuvC3qAitRZDWsaMO+NdWA8k
rhg5iT6WfdEmvrU61VAf5M4D5q19Q0sLrlRFpxYdygB8s4KtL46nZluI8MkaSww4arW1MmPF4wYB
2nAyct59FjlHt3W2FRGxGpNLDzZswHxSugm1LEYmBHk1qQuIZpM3xcUv3MfbNmUeWbbBm9okez5r
P54GPDy6R6s53tVS5c80671QlW1l2a+BKnfdmJKr3l2A1Pusq6c1vAdI9XF0y77mW6Ays0Ob+6qa
qIv0KT4xY9mUQfmQ5c3kJ3mx7cKu3LpeNh7xvgPS0QEsxK92UBzUCqcBiTzNOs9UbVGYZn+L7jFa
oOs3YChUz7kakRavujdwbQq2FGV5qDUnXDbRkK1Z5X3EhGn4JTPD517aXC9EW69G6EgLg7r+c2hi
x9cNcmn9ftRPhIQH336qz/5EiPnrAGouQZABeDoremK6XFaBlCgfb/dxHtZkpv4fLbHQAOaBchbi
Eetj4r2b1m87238p3vl3L0HF9vNLjFzFdtLyEiomadu5aeXNIG7/+m2wpvxpufjjbdizqRSomWX8
7m3obOey3ovDG5XZiuvcTGCRhweE7H/9MqxX//AyFkWria1Wx8PKpPHntxLCRDacpAtv2mxalQIo
Bun2SvnYmrd9pzEHqWhh/suc+H8Aob9sJdaQmPM/6SDUnzsIsnP5zpGsONg+1NlI/I+VN/AIrE4M
cG2Vf2PWufzoIJy/87/B3wGq+O6H4hf+WHlbpFdCyXUsR+c+ZWf+n3QQjqP/crmw8ubGQv9iuY7G
hckN9uvlkmSg1ocmcM6wwfZhU3b5qen10V6KrJOSlPu4ZX/T1/Uyi7JwuBbeHLxYeDms7kZEL4NR
X7KoHP2ozpNl37QboCs+skeKOTXXIaWkLLY88Q6uIqbnt+IVZmOyuUnQJk6hQZaqcORn94QHPPVt
oSV3DfT+C2D3rUcKV+7gnUoZCoRqrJyTIHd5uHYloHolfBmx9N0GQRTbt1E6OrdW7qJtNeHHGQsb
tG7hW/gm8wfbUYx1wMijX9Vs0ZqbUqmj+Noy02Ozn/RPie5FRCUkxTaOqLKZ5lWnXpj7vrXurZAj
IXDyqzrNZlP430UkP/SZ1WtH7TsJ9vGywhAKP+o9msPVaVzOdqs/2cNwbSPqTYPZstIpvpIxTQhn
RK0ppea7IzutOnfMlWZGTxBRXUrK5FUPrUviwj8QkkNZiT91z3nIWvOLxz+mm4wPxXKbO8dIGKOB
iN2yaYPuTd3wOhqkwSecQeqEJLaclc1Z6j6UqaavixwnaW40ymIQ+ha/Jd1TV/lZH++MiDPC4rAD
0e5QxeE5XemiTJlBjIgO9Ltg3jZNRgQHx9S3RYKuV3eTfumNg74bu7k5atVPtfB8t62zpYI5Cvxr
vcly7y2MigOOzUONm2cZu3Dgjcm7OAE4dA+75xAon+zn1qk67MguPocVy0GSIHxZTfaWA44HWCC/
NQVCWMy/VL1K9tFH3gBcKH/mkm4Wuof2x563CFxed5y4DVUB7ldLKIygg9vUQ7UekmkTRtp9IBUk
ggznFupQWRQMGOa43qgDi+dW4Lopwmbf8A02dbvGGh5vBovC3lZLPOW5ucu68WYorSetbs5eEz8I
KuQlDIlrFkb30WyElyoYktBWdsx/jEUXVfejEzyAbLmbypZbBBuzj6MWvUIcE8NXBbdtMG3HNFAg
UykfVakggzJlshkt5l2T5qXLvoVCBSkFUpVq+po5TnvcsTdiLMZ1QaDgUra5scy6tEEP0B8hKH8S
toolFpdZVccnW0gAVqpzIJ50RgCQWz+CptS4AXxTE2/sG/v16DU3XmU+d0hZltzqKELGzF5GrfEt
G9tpkcjivp3ksqEgmub4VMcZpoWZF5jUku5R76d8q5hcncE8Ha7T+Csd9Yk5m/Ns9UwEkIzvugIL
eFrpOyYkho/a7Bh1CoxfE02+mpnmui/FTRzaJHcn91naneHLIK+LHLgKIlnFmXerh3m5tlNWEz3r
dTQP5P2Vuf3AWr9bqpX6LdDNV9VIP1TD2pW9wcgwhFUQKPqXWSvXWjjeMsuya0bTttK99jKOjbaJ
7eylGM2DhfvK6mj9InzajjnYd4ZwpQMbU0V6FpXvcBtIsLLQys0BXq3FIEOZszMTFjXd9F4Z+kvp
esbWU/EvSs+5ndqOpMomwvhYEWVhw2tceNGIKTqod6rTXKK8gXUv1RTxQzGyYWb8QEjJq7TNS5PR
C/eRC0CnDXq/alHsCylzIqHUcwfdeYWI/qub0NhgBzwJoXd+FxTONklyj5xzEzVji286U1n+kFjB
7pk7WasJ+laD3jrHgxUvuroccJjokW/o5X2fMwsdXZje2gTzIM4HvqeY1Ctj9GNLjP4oInnKnH43
ZsFrlg8ATxXs+7qDZmYwuFoZAn3YTs5CJxDTysox45nGuLXzqtwV0lwnAMB9jHfp2gXvsuB5OG1y
Ub5WrrXOK4W0AZz1TP/vIiW2MebFHklLs9G+yZg+Kegc2ZcEd3auy7VTarsyNI5A3qCWZ8LdsHIj
mY30nGUALGkfte1nUqpijUPO2OsSzZYFrxnMYphvozzHlN5nfDf9qKwhAcDxYU+AqxXXptV0OyOj
20QyBuXS6g5h6u0Dbzoo8ZT5rsaqJEimuyoLCMV0Lq7CHGiqWRpFLTR0Vgm3so0ech2fB27IdI2q
MV60kVJhD24+7BIEX2ab7mZw8QuNGow8griwSKbRbRNjbwom1U/Qm22knA7Qao9EufloHm47uG0r
Q0Dr0Vl3LmKnOnuW+HAB2Kd1wG7TgdbBgM0iB88iN8sdcQ+HqPwnzKqq2l+1NnkrEuU2reJLQm4b
sxnVXokKPkdlyq8UGGiYqea6MUxQtrHJryQrxe9TplAxi5yujc+B1+Jw1tTO78sqWBZBcmDEom7F
IMJrGaXErwUvNnuZhc6t66TZtyprXixDQfXTnOV380mTfQRQRFaahxPEy9IrzkkUPjGKL11R7iZV
qr6SxickTQHxQckhhfG3nGc4FiqKJbTGL0Q7W6cNjm4wZszMxj0MVzghiTLjSp6yEaBHrsPIGrOM
nDiCTINqj+jrYKXZpyLdb9i324XNMjYvlW1Qiy+8Vusae/CmduSqlvzTvlCuqlCPU3jIKKir1oE1
nrx5rXiPah6+HQhFUTk74oHmq8YNl7Vd7ae6ZwnEQCbOWPoJtsjDxPUcBzobNp24V6JTF7jOLrEI
+Zd5gHcZuRdVijuaOHko/m68oXJ7pQLbxQPB31Q6WIRszJ8QQVoZ39iluwi8/kkz+OVyoHsLxCFh
Ab4xsuYDCtZT6ACekHC/VSeDfZ5fNYMDz2NkakUaZEPXOGPkeaz6ns1WTdy9IstbGXtH8r8xrdnl
PQbznkW/pWHCyjZQmFhx6XMWMVoxFhUAQ7IsxG7KrYOwlodFxTikK3lrbg7NmLqTcWQM1hD1S25W
O8eI9v0ovkWaFa/D3r0ZNbEppk2NAkZnbDfmTOmOrpI8RGlHp26a2ZIh+0aImVPjUMgY07vh9giP
wnfXjo+m3gKjDeC31LJ8I9OP7Be9FxYHcVcduH0ewpENPaugqyYd4C/wTepq5W6NMN3qpDF1TeIH
riHvchvDOVSu2AbWblqa8hR1RaEiY87rao/Fqs8Y4vWd20EJ65TxbuTbyVUrVnwzwKwTAhOLfddL
gOqwUBwSZo+srzaTF7IbLJS14giY0onSr2Oz8BndtX7QFc/knUyr3O1Khk2htkp18WhU+aU37WGN
eeZbKaonM0axB4mDdwoJDUnTLnLMN0Lbb4fYA4XroFeL4gZSjMMdkiTMbK253wPFMXCcYNhNVA62
miON72/+7qjNWw+WsRcxkdbMRSpNf2icc9fEyN6d4wwbXeS1eNNIC64980jmPNVNId85W8jgSmGw
5O5jHcfmvmnVrynocoSFKukPnbvFEH4LRIXM3ghoMK3Egrqm9+0g/6z6bGuQZwsQpQDAVdtHs0zv
dYaQeUOUhZUV/Zbn7tHrcaWNFocdCU/btuOOFjovaFU4Usx0phrgkqsnG7m72EidatfTktekJGE6
ukmYowlrBM9ggG8g98lzu7MCDRK1Q3OTWeKTNDFmRBqBIGN8LkL1bHnjzEY4mzrqs2yhTKVfVUq4
R276lPThronil8ZpHiVjS8Yg6sqtNoPtXDChLal7z2Opv8aIY71a4cmYhbtpdKadaNNX/sDHaN4S
gt0LVhHLkQNPhVczK7qnbOrCRVGKA3ycwq87UYC1nE59NxLIYGvPslOxiSV3fZ+/JdIlZKRuZsHY
S2oVx9iInrIeOcX3IcJ/XS0Gk5+/3g368Vf4Jz39/IP/2Araf1ddjYcO0iywvjNH5EdPj62FnoMC
j3b+t/3e/2XvvJbkNtJu+yrnBaBAwiVwWyhv2lveIJpkE94kPPD0/0JLlChqNBM615qYmBhXXRaJ
z+y99u89PZ5q/u+UQZIcHOxwP2wFjV/AC0MXJrAGWj65Of+kp8eK/VNPj5IM/65rmsi1mBToP02z
4iSJQJu35oVLGE0mKWIYT3ziqdLFujxUaDD6WYJTsPTKGEEAT2is0F+HCELPxE/KtzQqfLNVoETU
p0RmQtzA3cIDmaB1wC3bF951XrbzMTS7LD6odjIeSPjR7INodBC6nqdxiQVmQMaDQ+4rAX2JuI8l
qKTTHM5Zg+opdIZLbSLruF0CsXs4Ie8Ag0gaZeIAs91Cxr7TF8eG92HeaNXUHiwSqtA/zcgpN4E+
dYC1JIsQqSL9ZHRecKoV6we/wFW8iaAZ+rWC5NrpU3yy2wloRzCDik28wHvrmgLukaUC5KmgambO
sqi7iQz7bZqKTzINvyQOVS1Od2LeHfu9ahFdeaVA0J4r6+vQAlLXC99QIYv8Wbe3bap1nwa4bKve
0InHGtJO+K43sHvj1vMsNNo+D7T9lzF2+n1jFqhctCA6w5xB3S9qZOqqGzHiVGpHYnkJDh93TJ4W
I8uwCjNuTQ/m4Rbgy8UtTV/QDE1AZ5Gf3I64RTuo5WWy7fnA2QhqEqg5lqFoJ2Om/XVIxrk5uYlf
NkgvJLKkyvXeQZtoO7ef9wyBrk38NrspQLytNYvHL6gZblvjixVZwRotWb+Sjr0rGRexeRoZD9fD
VWqOLOKiCD863OF1bUsb0FRlXOthmt6DyzHvCscp3hPdqo+5iovnpCeXHF3z14KN8enfU+tD0bCA
kv7+1Npl70XxVx3D8qDvJxZiBdeGC47bjhCOjy3+9xPLMH7htLL4J1QFg6PjjykkwlRdh7H/XWT6
w4mFJ8c1+Fv8i9A5sP4R0EE4P59YtmXTkTn8TReRxfLn/jS0RkGA36RzvWsjr8nCs8Vc7eqP1AVT
KyJjY0d5E3xCtFXfAh4no4HdZOHP5DY4iXeuCy+lyE0/pyitpoXHY7ThdrIspDWVmY1LQsV8KEZT
bbreu2W49o30vNiHdEMRb+w0ou3ChgWhrXbs33Yu0Xdjpe21OPts12QtyqQ8h8lwmy5peU5bQxh1
9lI39jpDOthtg0/iooYgaNoBrrgy6NtiA6D5EJHGx/Gzn5Z8vkITn1norUbV24eaJWdlycNcD1+o
4i5kZmTYNnhvrx42jnZJAET1+F5P7jpdsgETeOjUcGz+Z9Rh+MY5fHqxxyh46pdswWFJGUxNrd5U
S/Ig0hTeLXD3dVPOz8w5L+4scqYoLADrJb/QYJAZWaSDmlAo6yXjUNQh2z9iD13iDxHpsru08CuJ
snvN2UXDaWdWUV6PS3ailgf2Nl/yFMmPPWCywYcTY9YRWPDXOsgm8g9JYmTZaYKoynOf4Fw89tNt
bqfI7sm1Itng65T3Ln5F2FR1GaAuxbZuhtMbqSsQn4T41hraURAMOYC8TZakyGDJjOw/0iMHciTL
JVFyAgZEVd9C6cvec60YXvg+T6C75ty5WHHjE5VESGFyJDL7flhSK2vCW5o1TnXF8WsUHcV3nIJz
rLKsjAg0wjmlrkagTYescS3q1D7axa4Lt4BAF+/CjS46yrTsdySZlwc+l0rfWDrB51HgevcBeY2e
n02CrZ8qGWL29mTtuNFZ2TrrxnAnoOMhXC5q4yyzrHt2S8fdE0Kvv/x7HH4chwss9u+Pw+v6rQjf
/3oeLo/6fh5SpjGORzaF3HrJBfphKyNcNPeIqWycwbaN8+GP89D8xQNHy2aGwSTguT8bk/Erc35x
xv5zwM1/quDMxfiMNdozLFMsgRM/LvEo+4FZST241J4gIXfOUo9pLQWONir9VMhm6YyXAshKomMc
TK9uiGy9wvpqLh5YbrwDI/EoI09ImTq+vUpVmzFh0uAbTlQ+wYnDSgsOHVttsThstQ+z7cCE6o0Q
nPidhi5gTLFYcu2GYqQYWQWB6txGXZwowtwag994bfVbTGeec5wkilEvnRjWdxgD0rji/EpsSCEj
wcqaG7K0SPHo2XEAD8WAZ+kKNq3TEh9oJt4267n+mgmZaVSHx6wT19Vcnhpbv8zzcCvMmUExnkJT
OxPrhmoqOoxouWCRYAGYhWZT1/Td2mis6FxZzk6vtJsEm81dFbinFn2274QQcUOvEeeCODHf0IZ0
MzmoL2ogGGtKr+uxba61dHRXQ2jpqwmkNLjKYROFmDdWGVrWyo/Nqf6Wmu19nOn3eNRzm8OlLW40
hXTVtLAxqGobVk70wtjBl9RoAeqAS28hejLL6Bu5teQHVhJ1f+muOgwC3mTmxMXYw7Zy2VtINRv0
nPmuULzditXZuJjBglk6a0MU0XXPcHQfV4D30P6h5dJKgoNt4qMGnwk10hSP8q4y0PDG2gUlxBab
OGnHXWU9NkCBQJTFq3rKcAplbOhgDgMnmVFQV7J6tclYRb6neTHKOoOetpnq5J8u2rng4AAAEnLg
ZLjOTzSORI8GPfWa5MrQo2prZoPxFk3LjBtC2W/ixX+b2AVM+ffn377LybX+2v71BFwe9/0EBPG1
7J2BHvDzBaLxQw9rWByOdKEmHu3fDsff9tJwvKzl/NNJKPhofGmKf9tLk4SACBXBwR/b7H/gOuLv
/CBiwGqE5NRFeioQfxhYon7aSrcd2cSytIebTj9yySTTXdn8j1/ir5ywP9zeC0lFR7oGQBCAsANP
5SdBhkBYniRpU92YAzStZmXZDfycyDQK8ybSa0X9UzpjejuXseNeRVEkX6iQjPTW1e3Jj/R8NAg3
qfxmLA8qGs8g9zaOGW/mmKOtAzIwTdlNYGvrrNQOU+MRulzetzpt9BRxuCh5N8bNPpjoz6J83EKI
EGvbUkeI/9eam37OJkRFxKJ3VXUgHvqFhokhbBxdh22zcY3sIKNGrcRYf2MivauyeFhnVGy7WFmd
r0HyWYFV3KueyWAHfF+6e2U2aASLl9DRD7rHxW6K6qjG4j1rcOoGmDgxwrwHSJQwb1XtqtQ5DlVT
b0kQOwetHNZusajxB7rJSuqfF1WbaaEOElbx0IvwGBjGYz1S3Rhx+5xC7/SjafiCe/Q4WXWxVUl1
KaJxWHtKmkT1BLYflPV9HROQLq2y3YSTecF7jOKrMW+zgRS1ue9etMQkckaOG/oXQtSN9lsiFTuz
2IB2qcqborROckBVWxHJuspShdNZH6nnWqraMemKTVzBsxC9m7J5n59FXrLzZt1ddtqdPWj4W4zs
Ycg9sjXd9FVDoLsyhurgkYt0lbWD8PEgHQFdY18WyloJNzyH7RczKbcewUeMVAzfGhVz9ax4DuYe
vLJC2VqG4li7Xb1uexzX0v5SxYhih4lYC2l9cZscrmgSf3Nzhp6h5c5r1XoPGMy+WTFiWRW/x4rV
LqCLfWQA4BDEFpVhftMbzWeRJLpfWyzzAb8dsjhlj9u3W/yiuNNMeE5W0w4bS9M93y66G1wVj33Y
kc+etQSTRfWiOLgPxxZPrAw7H7vzJrOI0e7pAOalOvXc5N4gMg0/CoNsr39OSXIAe+B8SxLvky3S
JSsUApUJPXLFGCO9FDmW2TCJK59z5TGc1D0+6eoYpSbydAlsuowGfqzjJ7zw/HoGRcjrwOch5fya
OgE0MvqXPineQaM4277WH9MwY7pM/OiokbbThy1bR+1bq7mvGsj9lZNGvjQFWpIxwOlDtL1TGpvW
nNJDZSwcq8GqFVRbPg0PIJ56sMMBB7eT8iv3svQxhVBxsGd0Xo45PChlUINX7znuwnjhTWdl9VW0
arkpxyH+FHag6UAqYx0nz4iXyVYPMvY8T4W3GXdTNCXnHPlnrGl3dZd4S6eFPHEdwL5d90QHa5IK
qvaq0m8ytIss4vzQrGCEmReLREl6UY0+tPErrs0lqPaqKeULhu73WB/VimMNrAFE1Tyr/D6aTrTz
b9rYnZhDkQLcvYYdVnzOnLu6EBuyc+9KYR4God2RdL92tPAJZfBr49rocfSTNyDzle7NlEeXuWm3
AGH9wJu+MmJHLC2Tddq06YYAdz8l01Y2NbhtdrN11V9J+BC1gnNKMusabcuAtoflSuJqbNi166mt
n/LYS+EPNO9Ni7ZXjc9a8253/BJ7R25NK5EYl8nkQy0aDDTxSTdp2kbvJ/kkQyJFlKoNPwmJMGbs
1VaMmLCdlxbxuLPayL4IibhKOLdWaWlViJTt2dy1EyWdm9GXumb+lKpmW7fDyzBkT43SXnERmrd6
Z8833PDUts7UmzKAhdfm1zFwr9U8XXngPdZFzu7RZlO7jlXv+lqSxdt8zr0HK3enS5hH93EYfkYj
oi3DvexUM96n2W7BlxWoA6w2ei0MvsUheohj0gk8Uzt2ffPSiXJmOYz2PliQdESzNKs+5t7jeyln
QKdlzrrpqvlaa13twUlYtE+TNywmBpYftdU8B17Tra1W5nuuZnetsnZtOX2/70U77NgnloSYltNu
QMpJQUpsaNiis2BxaqNP98SeXv6GuLI7yuNlpbBjCEeDrgVf4hLlz+yIB0YNL7UY70O7dg6e1b2U
ixjUCufg6oda5D+IOemsfrizf9x0MawwOneY9Uh7GVL92NkgDK8M11DdTekOLBHJknlweNU205Lk
f2HM/lxFLM/FpMsRpqDBkgzCl6nTD8LRpinH1hia4cZF1Z0+qWkbaU///e38r6dY/vcfnoLkmywb
umy4qbgwCQJCnP/Jqu7/P57EY9AmqdiEYfz0JE1EulxSDMONWT+o8jxqV1p/+O9P8devZfEr/fEU
i3j1h/exEItDYY3DjUU8iNrOEJqoQgr5lkz/45noun/6Afz5mZZX8sMzZVFvoy7nzahpXokCgZFx
7HLWXZs+P85gg//7G/tJdfvxG4AcBMwHlxabmeXl/PB0xAqMc92KgQnQi6CVktDVo9OUv3w8zb+9
hmD08Pe9xiGv3uv4LfsPvQaP+95rLBS4hf2IyfVjwsx1+H36LJxfBI2y5DAwUbVaPOq7BpYGhQ0W
izaPB36wnb73Gqbxi7MY31i+0CWgkPlHGlgGNH/6SbLCA1FnG1j4OJWWtuOnc0JGqi5G4rEwtKHL
3Aro7PJSSaC83/R5LmxKrVZvububaOhm0DdpOhSUywknmGOld4HBZtvFQ7uvRS+nFcLsLyGZg37p
BW8QgO/TIM1J1oACq2bH2Jo21ggaqeZSOs63qAIpkubEP6JCjxmwdOZGNnG9aZ1Bsm0S9pkckfyg
FVlLuY+ya/JJsIn8hISsK/jYiAwRbKA2TE/4Uot1Uw3TFuYw/g6F0ymDrusD80U/yZoHUvt0xA91
dss2OOUxqPBU81j3MFx3qa0dEOYpLIPRk+jBWm7DihoPy5Ss1mrkjkgiELBXS3vNOL0rZyyOMuoe
hBPpFDuoGlBPVAxaJu2qTpwvQ8GNXkGb2hGA+W1Okk9IJPBEW73ID0T7BIxrkukRZVCAlC+6hGQt
H7ooeW/D2Xil7EU1iY6XMUam1rLJMHMzPcWP5hXeCXO42DiDrh2tatTPdly0u5gV3iok8OVcS3nr
ZmFyTy14GKLpQavsYlVaBRkwbnkrHSRewIlJT9YtclBLurg5Ra1i6QMz+inVziLq8P5PdWS/9lWI
PFU301MbTKLFxPKBCpzr2qmvI767nh1nfJkENftKC0WAvDLhL3k+4XIkFLueQqP7sSKtlm2pZiyL
U6NP52O9bFPjj8VqObvISDw+hODaQ1GCoiP1vvXCS88G4loR5vO91XOfXv97en1Mipexxn85vYrp
P2z6l8f8fnLZvziMfLHsWu5P6n3mxAu60jDxAEvcvBwa308uhssOazbpSKa4v7qG/1DvS5d5gwsC
/WPR/w/3Zsu47I8Rhk054Hnm8hoITGNgbP50MzWjrBJhL9urPHWibVlm8Xosc3rJ28noZwRTsRfB
gttYUa9HeMr7dNjYojUEHnNjKki7mGIzO7FhV9M1bA/2tysXRFAN3WJ0VEd5nUXmDiAkPoGVZWUx
gdZaQAriWgu8svg01w7GEtl1Xl2spV711mm07YHYI0HCX/MG4bGeZ9gB+PcQUo117zU04lG9S5rK
u0RKjw7hWDsrNQzWoyrJkXcx6KuuXMIK0oTRghr6UzyhdEZyX1zJLO3uhJMOn/XCtrFOJVH4mZ3y
uM0aPT/HTlrSypbBVaKRzwBOI9ozs2ef7Q7mdCukERwQ9w2XtCD4UUAPWNfIy/EcNqzYDaN+c2NW
RlmLqsyP0CYeIjtpH4xBoUKLCvsLgW/ero+ygQkAGHfIB7tMs8w7d9azzbjo77NOHy3UoWzD7LZF
1O3o01Wt18k2BVy/tSqBGArMnRgYv5if+ZravQp0/P2iYkQLM834ZM7VfBPNc1KsUqMzPqf0iKdO
NeFhYnX1wuzXXFMoohGtaFxmN++uuy79wkdaHBSj13uB3S3zEx3IszUgoMX5GF1NeRquwwlzpB03
zc7zMmKhZs+9wldn73NV0JFMee1HLOG+ID7LziAXmqcuL7tt4yUFMJ/YuJimyBDER02KZDxgrDIq
55aBgLbl7GtuzNis1qwPyhOS0v7UNOkRZeYMx1sjOsSexm+DFWV7t8rD41jGFq8tkdolJt4GdUoD
n76c0Ke3LUe4mgjFqUI06xYsm9Vo11Rws+EFx6zWnCfGGs+wfIyzobnVNS8/2GpY8i5NaSBdrWv9
epojWORk0x/CGDViCSGGdrua7qLaHdZ9M6jNFHfjJuznYNsAHAr/PVl/dUYt09K/P1kfOkKN8+L9
r3Xh8rjfT1fvFyw+9GWOIWz3A6HwvS6EFIpFTjgYliwOuYXJ8P10dZe6kFNXGL8Orqnmvp+uMIWZ
ZINX8kAHL7m8/0RH5dh/rgvpH3WLGEqTTQVxUBSGP23hRG/jMirz/BpyyJEuk6oF/NBIlsoMEH/b
o7ggZzy7WEvgCgqvvc4vNUZdGHXaociYAJDQUuAU70hsIe3hLSXBJWgW3WR7GWdxDkl4mSPCBtMl
9CWS4WtDCky/xME45MJgBAO38xEVs4TGzECZTvkSJJOlUcOElnCZkpSZ7te4mfyGrAomd0sUzSw1
vyabBgn41iSrJhrLazbQhLp7ycuwxNmU5Nq4tmJn1qVylS6hN51TklJEDI49RqACUej7cQ9V357c
c9vKg0l6jjmN75M1X8AFfc6C5mGY+hIPdrgryd1xmMWsSpJ4bBJ5siWax4vsRxOL41y2n4bI2TY9
qrOaW8Nq8NwbggZOWV5y40mvIOdvK00EfrdEAaE501ai1p69JSaonKu1Tm5QVKOOn0kSMpdIoWIB
jeWMa7bREjhERPinEZGzTRKR1eH/qdQtCuttTlLRJMW1tL1tZ453SDFwQCV40cg2MgUJ65n20lvB
MyS1rdN1YIl64pDMLP8ck49ULUFJ+RKZJMbkagK7vFJpd6uPwYhfjIAlZR2caUlcQvcNqGCJYQrJ
YwqWYKZ8iWiauv6e8eCGfx9v4yXGqSXPqeNlBPAT/XSJerIG7CMxmuHaFX6pTye1xEIlCQOFZImK
KpfQqGky72K3PA1D8NVSVbKKHfKlSudOQ9bja61z9pYIqm4Jo4qWWKq4ju40cqq4g1lncFjc4VTy
4AbFF1cnsDPIb3MyrogXeAo95i+0cARh8ab21RKJ5REiyg1uDH1JXpa5BGfFMiCiI063VdyR6Ms4
ak53utXvU8PMNkU3TsBJu3f26hUDqsWPQ0ZXSVaXJ6rsHNl82moJ8grLeVgVIxRQs0FVQUSJWBGk
gLFDeNWFtEI4B7RVVef6lk62WRlrghw0AJt5V3SY+vE1l9yeuK9vsbS/xCSO0eLdFUsEmVzCyDRB
LFm+BJQVS1SZNxX8Mkkvq0gxc0kzM21cipM9X+ldAOBUE2sW53de5d51LFgH2EQkKAYHmWouoVmE
Zbrkpo1LgFotkKuQ/cIgb0AZnyxBa9o8vYVEefh2Aycg4xNdtRAWWzx/OjltYsJSIpboNnShu3g2
8g35HzAQoOhasD7mNy2d3tqe0cTYP6SZIAnDvUmXZDhS4CyfQTurGmLjuIcWqxaP/sKdjKbeOaKk
G1YV3nS+dmTE5FS/8b1OR+oFWCqVtUrZtK0NzXo3xoZAUu0y6i37EHcqNvo0v1G/7HFRsj93Fum7
ZMVBdjKA87oEPqyGe4w+JSQ+LFKBEXokhDi8nh5a1dDxC+S//2ZkOLAmOwtWKSJ1xP7anUIO3uT8
JCwnj4+llI9Vra4aZj8rLK3vVaVfS0TwTQL0FJyaRWYHwn5HIC/Q5/ocCMAv5Fatcz7xkyp40ykL
cR8O4KuVE9VZapzBYewyU+7Z1RCSsg+oV/aEwLwpJy53HkejldKsgprwo8i6zG1EPhbMUpuJw5qi
935I8gEiSnmjGn2X1NZDNXNWlpROoTIgALpAXkr5FobVkYX+0eDNwXhC3c6o8lFzZuEDKFdkxsIp
qW1+1GkTvPbO/Fq36g73WLgPM43tg+g2OQfcymq7+8rFc1GnfL+mBh1nEY4NGDTggdWfybjmqID7
GXnXHHS7UEU5EXDNA5LMp9Ron2vlmmuq32fLm/W9MAaxpj2JTnOT9OvYjWz8aQsBN8TCnjH9r5vk
vnDMHZLXch2k4nVIAcoAmNraUIXpS1NjZVbOyquNp965HZrjHLwM8cmKzFvsWCsEhU+Jlj/GDK4d
QWvtFCWk45IdRSYapG/Ou+CgJyDGu+ljFk/K0oK9ZsMykM4cbxjHw8y3LMzCw7mpsrveM/ZyzDh+
42kzT+Iey9opKhkDxmH3LNspWemqPar2CnEKu8sOx6ZkUzGZZJyRH7wz0Jr4dh0/i2neZVmdnAsS
l6Hz1BcPAcoWVAce0HZkpC1Mc9VUoPUwAG+GKjwi19ZY17gRQ8cy9BSaCNPYW2P5jpE3ugxFy2ow
5MSWz0mZD7u6jVkntIrlAGEbMelMfM9yQs4Vuu0mjjE8cX4dg3b2roVZl9f6rM34h1rr0MvoKqsj
133rrGnazSNDFIY8asPNI0HOHG5zW1yMyj5wGh2dgJ8O/eKqbgGFaLUFc1hWnBA9Ijkci/tIWVeW
1cDYjPR3c9Lfgyn8zC0HhEo04hnU1rkLgSHVeeu8xsYU5ZokV3TGGH7tMNoZOjkAbWByPITOC1SH
Hnw+huVBAckVTclcAoxvr6Fols4p5MOuPrf6UVjBXRrIvaYNxlVcy2uzIp8v7nIChjL9kY+fu7jI
3qsxOfZGKLeVGoEEOrvEbZo1vSph0aOewv4h3SnOIJ7Qyr0ULezjMbu3MVU7mf2Ye+pmUkm7cub0
MFjOto6zm57rZMX0fiva6kGW1hcO15vWGwpyo/gJxNiS2N5vOeDEji0ft2zRXKETjVdyFvvCaQ0o
Ifm19BCTprAhN6ykpk09gl7m3M/Ic8CfVzvNJh8RIGG0JBOnNN7mBqNYRniSRELPlte5osh9qevq
PMpMQuTVNkS8LHThV24t234w7lAJnLhy99JgbaeG6LGaG4Js4uwyCG61KYauoD0FWflsV+JlCGAh
wQh6biCdlyN7X3ozbC0a6yzPDp/yCVWn0LLDHB9rq76MYbitWLavu9i9jeyKe7TmPHZVf5mJZ8Ko
9DmzCJEmfoqvfTr3o9vtp3pqyVJ2LrlA8eTkHIRatMOk5KyVbe3T0jgP+swe0zT90Aa34szOczLk
+Y1JE7oO2UGBbamNdR/he+47r/IHWBP4w5k7Vg1udXeu9w0s8HWtJ58ljZnvjt2NrBpz55HfuUNl
1ZxzVU+MDodTtmRslmGwS3E477x8IOXHQEvAqi1zZ+sBYdXRiWW+Q5d28Ki2AGXj0sTU0zPN/HUb
8O+YXvzXduz0Xv8HgfjymN9bMVonQXVlO5Ji62Oa9UMrRtieYEKuMx53JOOx762YzQhs0ejghWHR
JheZzvdWzPqFNkxAvbBt5yOr5Z+0YpJX9qc5F4QKl3YOublDwBL36D9vcQgrCHVB0XMlGzhQKbhQ
AKWRkSHcs7yd7N030iOHrapsAsumObG0Y964HbZoGRvJa2xgn76OgrJTBxTBqN6SLoE2V2l2J28q
lA/DTTFUV5WZxg/4HSFARuYsYVDODTPkKPlkwlS6nYoJ1JweMD4LWY8GRJQvEzfDmqNt+zE8UCge
AV4FWg6NVLQya14B4yRsyEdQl1gnzc5p4gZh5RiLY/7BpwtnZs2Idsjx3rQLws4zQ/TjEo/m2LfO
ul5wdxSIigM7ELs+dcRmWLB4lJb109xHndin3uTMG7NZYHqT4ZEKnn1A9ioZaKibrUrDa17NzqWb
CINfV0bp3NM9QOvD7YyZc0H4iSpK2/vUzADwO7S016S3RMZOSf7zFDblyzxYHh0kPFJK8jEq5QGw
hKlv/p1Ff8yil93W309MwFK2b//Pz97qt78OTZaHfr9SsXIgnIT/Arblt7XY71eqwf+EXhhpMsav
Zfzx+5XKSNq1HBPMjCWZqiyC5+9XqgOS0jQNTB6oARFF/6NMJfJYfr5UQV4yGMdRYpPLZf0s3ZMi
FJRmdnltEMK3Qr2K22yYps04FtSzYyhY+6TbzJwO5CmiygJh+Jp7cnF0bF2vBeJXXkmu08TWcDoE
G92iMeEmUp6zWDIriOunSbdeXA9ruNuAqSOUcNNP6YNTB9eJ3s4ILEjmLMpE3o7UDSFBiYtAP0OM
Ss1tc9mLUb+ao7hfe7PVI9qPmMjYgGILvWUcILzNnDB1ECF0DjfczAHoEE+3y33nDDlzb+tqJO6E
dhyWJOB8ex2NLTiSXn9Ej7GWxEoMRtusW8IKfUePa7jm9heH94lHhb+rPNDEXQ8LXB+HeEXW4Bcv
9tzNFJSwaunI6WegERZWcMiqxPHRGW5KjBw7phnZyba14RzEeNcIJSh8q04eMXihBs9a4ddhcs2M
0wfTADt2ZgjqdA8QLB0fUdzjQgqt1DJ2NoezNZItYaqgWwVV0a0LDf3CYOnKp2aiaFLdpaoSpvFT
mW3nXlv8C0e7MJ7ypL/zEqiUAOSQMQ1iL01FKZrGX3thXsJivqK/pVeTlrnqkvolazU/6Ogm0YSf
O9LDAUOjHQ9TNIoz7rGS5Si1HmSzCoTzOjMcogGd2zSYMLsj3liTxbxRSHC2g1Z+UQZFnqE3V4aJ
vk1pu5Khf05nLbLuZJqUM7nVMD3hNxN0zY2KYfC6KR8NAqNuY0FVa4AhNgmYImVepE36aIt1x1fY
bnHhFeu00nZ1ot2kY9lc5hT5Fw1H7Xeucweh7AILFQHU1I++lVvSN9KCrTBNNHmliDKTVJcUkOAh
w+Zh9MZoi6DtElrBp0n1eIs1d8duz1nbrf5kKayVjIvWgkHhpDjo3Ti8JQ3zLMZ8PYfjlWq8r7Uz
VCAyGz7DxjmEKmZQ4tjntmuu4xJx021Zymx+n8Ys3UsgMV5aPaXL8pG1wgmwhnUpurQ6Jq33Wqb6
XWvXX91qwheJSnwOt2HhrKtmOHqttq1141Rm0VVclscxoZ4uKcQLEIuqibpdFnTDwQnsb7OjdYym
BtPaxV0gMZEW/XxvOPMlVDV3EWSo2zC2x9VgOjwvzpes3g1ybpjCRfthNm9q+7XR2IDnnfdYEKeT
JeGpNkBj5K3NopYoaJYf3Wzsgz4emCx0txx2iE7bNdIYrApxyK9PBTdm057xagBVhYNZdvGdFNKn
ObqfK3wHTg3lMiJ0ZGXULRcKpqidFwpzi/w93pqps0MBH+4VcDsaoMjdsHZYOEb8cooKRnyB2HmF
/OvGHbUXaRXfylr/mrvMZHAgPM04ZVFBEvapsM0Tq06SRh1IQAnVZ7fTMK+n0YWJFceErt/kJeCA
DlbJ9WBm71QW40afh/euWRDeznhnDlN1MIv+ExDFrbL0lymWF5KMtt4iEkVnzBrZaqzd2IXPxYht
AP0BhoFpB+tlrVf1jRdnJ53mkuYDA71i+yXbeM0ybF8Wk3fEmfvodgFps7Qcpmc9CN02diCPmvWs
RLWhhRs3SjMuI5fBjSy9O3tq9mNmkVeT9ezAmTkbjDLokqA42HJZmi3dcdpYvhert0ihMW4nJoRO
lm1IFPgWel/iSt41rXmX8plwHwAZFRLo3WbuTd4SZwrchSNsEWMGSyjWzNQX2vUuUsAY4ySD+dJq
X2P+nOsS3WLbuELs8CpKkB4D8+xPliaKDV/otLeN8W4ssrXI4TjBeWK84hZ7b4Qp1Ll1eBghIAQa
qTnmKcK0vdCfPunNHB84jiFoWegFrHGrRereiEmwYvzoh5HTbSjRcNyGzZeU8GNfo72pbfBYvVLI
FEhsMIzqvrPHM0KOxCeVftcx97PT6goOaHaoxIBQe7zTp3IDxH4CpShPpUIFLrThIZqnbjt0xnvq
deOqQaoAfoucoAzZ+L/11K+7fTbuf19PnRY85F8rKcGDvldSBK9gVwDPLQQLqJ97HlOwXkc36OBG
ZTH0veVxKKT4h2SN7zq2sdhlvxdSdENLFyRZZtmStdY/2u1LirWfWh7UT2ADYQJgLCN85c8tjwjM
lpRkaV9Fs2bWjwDqMu73xZSLdRRpHYNWrJzxpXFT86XCp4B1dchudc30wZJnjBljyJx+i4kMIIfr
NOqQl/W8nmRPdEVnNzQooEuPHEigXyi65vS2zNPnChQfMQefRmoY5NXm1eQUam0VcPs4tpjIqehz
KXFJGgvdD/FWxAmn+SPgPwwFqQ8JlQBMoICRCF5YR4MJLPUEAlL2gQ9MM+aH+cIUZLkGUWwd8Vcd
v+ymtrhY2uTsJ8I0Yiv+P/bOZCtyK+vCr1IvIC/pqh/+EVL0AQQkkDDRAhKu+r5/+v9T5rILu9L2
8tyTGlSaXs25++z97QC6bDr4iNU8JvK+fBXx/Cx75qHWyoK1VuabZsQnX2TxroqVHUJ4S9Ysf1V1
Qkspd5wHr+Y+ksqbOJf5dC4Mqjh0FiVuOmN3ToMvWuVcskL13anfxvNFa637oW8eoQL7Bqwq998W
pB+r4GXE//Mb8fxCfOMnNyIf9OuNSASdG22JgGMwMb6fW3470ui/fLe3cNhxteUm/e+dCFiTBmDu
DO4RFAGdM9Kvd6L9y6JK0BgJt544Of/0D7JIYtFFfn8rcrOD7DAEDws8isayJ/7kIXVgdiy0+vla
z8KHSk9b0r0Tx4WyorV0zjZOZW2BFrMoVdb96D7gxZYrtcPwn7nWl9gxznrR7rM49vGVB41n24AR
/Sgcynt0bbw4Qr1IJa/37RBJSG5prLyKtMgAJoFrCo82oz6yY64C9UrteNe0gCCzLmYNmZc6GB/r
bkhAWDiwCV0To86Y614ZznSlj8WXaVIeMJLf64XZrVQxp1DyGOWUiaYW56ARxAF291azujWTnJUI
NTtlLG7Qyx9E31BM2eraKmiTc1/WJImC/GPiREWIU9vAK5aeqBdsshivWxaqVRqDEe91SpiL8Fs1
ZLPXqhC43dHxpdoCyypCbZNgnWI9qhjTfhiZvsNBHrUOhZlGo05jpdHZa/Qee91nIQcx0R/rvnwM
VfdJMWyySal+SSh5aU3M/hHGkDqe71vWfH2nlVdaMPhZWXwIVfP6Orp10UtXPaU+pcz2WjY9JE13
VIr+Q63NyVOViTFe1zvo1pTBKUrSrnSG6aoh76mH1hqAkvACoXZw40LnWkyMz/NUJeu+heNLjdO6
XQL7RQzeNFMnxXeSZCYvS48KWtZbOMlDrmvTtg0I8UMfXeeO2LuWvuu6+jpI8R/qUMtwQtVVSUu8
1WXb1iTRgzya7fW2XjeNeW5HjJx6IVgk5P3GUIPXhJVgko4QLrsRSvf4Ii241nzOdZG6ZI+WpFHI
sjrUlReVcyE4EWiUTKxrrXHf8aI6Z8A2kNBVOJeiCy3ar3TWVXl9B8HZuBJtVhw1IVkq2rRZzXW3
gzs/s0JhXZf2cKqzTNvmgNg3Kdf/FQr11laMvVI1D6ppYoUQD0PP1CfDRvXaRmhXkETjU5njo5W4
QvzQxOwd9EA68zE21uTIAvYSmnpVjrq4kO2yd1HSb12j3E2DPGTs15i2xQtGYhPo9RRd2zqF3y42
r8nhRN1yViQ2naLP569TU2xEH30tJFgGlzSLpKQKvPmUXhsGQaYx2356qN388Nz9J++ymwIXKdzp
n3lFUDwQUJgAFkr1758RpU5jbKq42nWa0af4zTS9Idv/4y/hLkX2Bi2rGuFFhNjPj6GplGNDTNu4
TprXLrmZyi+5e/r+Jf7VxzX+Xn/+jjq9JO8/eUXxMb97RVE9bGgO76nvL5vPrygqWMiP8jLC7817
6Ndh0QXjTMzZFjb/qH6fI399RTm/WPhAEbOR4/SlJOafvKKwP/3PK4o5FRkPW5QKNMD+Q8wB8zZK
bJWb10mfyqMisyq4G3EqVTtLRAlLMtSYaenBrciAUYGU7o0at4fZKeYuCchDZpMghDFQz7qKU0fd
jB3rWMPGMqRDJXRMwqID2tsqkflBoZT2bNP1iqqNZyaTnKCg77qz827GPeEm7lcvoIgE7Ecoj/k4
HOM83ShOv3CJ4u627Zu96EfrOR3dnLaD0KXehalNLXYzobhByNtKQ5VSrWn2GkGCL8/qXTtrVy4P
L4jQl0h3rufK2ZMxuoscQldF81WRTnnMYd5XobunKSbaa+6A/iTXjhLeZcK8xzIwrjB6hVhL9RKT
pHzCpLinl9aP1eBJd9OXLuRtx+4VN0PbD1sw0XzPBv0AOmlIVoEc8Qv3WC0H/qQWYFLSqwpgHwd/
ea4y46UO2+uWcreWXzTE0mI9FwMiRlAeMjux11CzdqyiPbwXLC0F1BSUBD+B+GeXOiYUe2ILr3x1
6pBSWyOg2SLedxKRqbKbmUmVUd1ZwLJaAKF7KHYYU58SthLYL0FA6fW8kVNKgUsZvjVZX6+nUjO9
nNcPRYiHFJP/FgnjKi8N4Q1tGnpRXT+UQWj4ev1Bra+6sxLL9RGQSASYSFI2JfMj5gZy2tdV2lW8
Jcns9Xb1xakdqNZuuqO88JJSKe0u3i4ccuu4Le21uTQIj6qcnqd8PjjS+GZjWvVxS0CyKOYnoy4P
kLWfR3W+VI7ypa8xKJTAVusWTkJmADYeEkrFQAVk9rRLaEQATao1bG6G99FByKOTB4N8KTex6N4m
aFQgEfSN3SdvEyNmsULDhWCB4eq1JyB0wpZMrjVbACwtYfDUGxYsCz8/lOlpYbUEZgS3pQdAZOPl
suFNZzwNPIhuDGsVIvEqWX7jM6yYFUtdXkFttGFhGU1UrmD74ahDwUqvXs/cDBdYW/YW9xA9ZHhx
VhynDroe62ugnJjE+Jg5KpXrWEp9ZY9q4bO7h3ljVnRXJNoET0aPxj15V9qfqyI6OM4Ip6w3Bx84
asvmH3602vebAYKqo8proLfE9YR21jukPVpnLiCVpNek8VVlsXoX2iPu7ukO713ylGuoraKio0wn
SqAFdek7LRdkbekJHEq56g2qE0dmy5WOV5tKIofrRrgKXU+0vGhD19PXYtAZU9ABqkznhEEicUnq
dmQ4Vl3KLlxEzWvdKVuNtz7TV73PLfQ4w3QOCuuLgyZTxysWSQlMaP0s2ONRnkMksJMMLcZymMtD
G4YsivlGKVPw4+2svlWa+BpnWYAwxn+L/8rZ5jNiX5KkoMkySncaJVbZkVG1pInl7xtYGR07wbEC
hcZq/4q233g9zN0hdutLOPBTq3gkNcmwM+nbKAtav3BhS8ZzjdPZddZjiHlLdzr+QozOcF83YO+n
TZZnbOQjgyJTgNJAuI+O7ORqKDF4mckT6NFtpzR3c8JQyT6EiP9Q+7mWnJuuhk2Fzr8G27sNynJn
dc2H1IOFtFJ0HvWG3LAYOcXZGbMvWROnJzfsb3J+o6RXKNrLCsQnSXsmvr5HjuebwSiPXeC8j4VA
TS2yQ5sMeJq1cWvDkP53QvixnvvLU+xd17bv9f/OCMbnYyx0DBJsgsfMwnBcVKPfZgQNdBBiCNMB
YdTvHb//nRGwLGsLLJJ9OfFOBsf/zgjg2OiGoOkX2O+yef8nx1jnfzZzNodr5hRhAL5giOH7+zw/
9iIXbaW40zWTRLNRlTT3G7RLHji6E1QUvMajuYJNBiDfDPKSaaC7UzNzazoJ4Nh6xs0VquZpzAmk
9zFWmQ5GuoGAxXFYZ6ettS49kzwiKSUoL4InPLTzVsGyLM1tExdf3VlDKDXVtxyNG/PjfMkiDi3B
QFOZUvaEyiW1KA4ws7zoVdYANmj9gtA+azj080iif2Xikug4ZPqMXnQgZL5KPGtHup60hQ5RXUs6
Oo1cKzfXUZnc8gR/H5LqruijU5kNNZ6Vhcw/KuNBuhBs59Ytr9XOehZC3LoVnyXgHkVyGDwSIF6z
6MrB4J5VVOJKF+lqlP1FTeaHrCvv3bg6RmHzjOi2pWKUb3aGBEE77ckg57AiR3OeS+fbDG0AFkhS
gffuj5NdFMhPQ7VWOiCzIYxfVwRvSag39DoUm4CDra1UZ3ajX+Moq1ZLDnEdhVnt88Z6nSNxpfHW
8genvI1CyWmeLZJz0+iOMm2VLp+oo+XrURpEgzLwAUejla0stsIeNzT84AYDYqC5G62e32fHiXzT
7hnRTPrOa5w6TcOMkXeYmIwsBpznDOXOlbxOB2E80mB87hRdepVR+v0oTK+Z3gPb8pHC27UI5ALP
/OhsWXh2Qj9ca8zFRlPblGWGuAnqycIayIOLzeIFj+OLU3Gm01penrTVWUvUnYI3i15k0T7EcXHp
1IyiZYs6AZqHNzSWcSZe4im0d2rWZRzkI2197qrNmqOs29TrFYBXjsXl6jQAw4G6sY+dcEvaaR75
RdbQUi95wkeVy9QT30CkqjC3WsdgcGqWcM3otWb0wnBG/VFfvNijzvl7VCKvUehooFnWYGxKEr+U
Bqd90VHQp2FOHw1pMAJLai1srimWJDuRZecW9/S6yxOXrOjMObSidUI3jGOqDBc01qfc1gMOv5nj
U4N1yiyxsxynXffSvR5zPHSpIsy1HWp7lTTpysLmi30NBnicjtfFqOzroqXMZ0jekIIe44xK3Gm4
iRdBgKTgOw+pq1pI4J+Dc4WlXfVjGHaroMn7kzvx7i/1b7GB4bcpQ+zu0+sQu1egru8iBKg1XIWn
tGqRLBRTbhwzxp5PrBIfIRyJoroIyUAEPuc9nqkggRa+nbsBJSVVrFVjNOQQZHRXhJKpjOOGr5TJ
Yz4Uj1q9lHL3zMlq/MxIQOi1LahJLZCDWC6diTI8xLVyJNV2oM9K9dXR9K2wPATkR9eskdfwzTRg
iMoTRNjtAmYsatqPB7uhwVbaX9uZPtZE6u6uL23XazJc6oPGhVeBsL4WSUFLV2XO0bd/X4s/tiy8
j/7q4Nw07z9Td/moX4/OrFkQT9mlCJ03z+/Zo3SoLv83hpGFnccL7tejM6QpTtpE40wVFhUklk/q
rvsLrVYWn5HzM8uYf2ZY4cX8x6OzyRvZME0O6igrIE3/8Frs3JFCQ2u4nlhbYK3vA8yfNChMROWi
EBp7cGxnrih/ivs+edA6Dagmjrio3ZczqLQR03dyaiB2zH4Mrm2meB2VC3NsjlL1RkUq0KK0rIPZ
b2XN5E/ecTdamnQ/XDXT2rupaUAs4TeGsxtM8+xiwC0Gq16RtMS9VVlSzDTMJwMb07mA0rCyOzlq
fiZkPfv4fWCKLvx6UncJZZJqQt123UvDvE81CuU3lEjvccAxh+e8j3el0k+7UZ+6+GPQnXEjY7KL
vpQxzIcFUb0L6cY4EP5IXyNwpJ6LJ0FZIXv2vpLW4I0zXP5uSJhdzcgwsMcxX3uT+OQ8Z6BYkEBD
zizS2JpT+GENClv03PlAADB4UEuQyjw8t0D3gIj2HQB1uxiOoaQewVnOGjJC9iboLkl5KGxzbDvh
8NImNBWRll7VqqKyvcI9gNSn7pyaytsogIyuOUsocS7koayVFNM4xt501NytU+bviT2bWz3VpQ+Q
1Ng2RRv5apNbPChYuhpml94kKnikyqXgp+zFKquqwXcU0l7S0d9DeO471lVcFn2qAwGlhLYupL1i
lngtsVvsrDntwCkWzjYEd2gPQbAtBcqBjV2moZQSrmHaCntLFqY5uKYaE8kIY96K9J/IwioOCW/r
qIsp9LBNTkL2MF1cNzC3g0t6pulCc0VHFp0ftQGfsAtA5c8136ajf01zfPyyivE51UxVwUANC54Q
DPQlhQIdgBc8GVZ1gcjEYkAO7cWOOKjjv6+giTGW7IlL4vFR3dGH9EhzjzHCitTsjmYHOriDMU92
Gn72NQ7FbPfvY/PHYxOD3V88NovmP/8HpDR9/9mKmg/97dmJLRe9EXVOsJr8XXsc+XNSiY5p2DD8
OFH899mpUzLNQ5VZgQUYZ3O0xd+OFOK7Y5fHqklrGAn0f0SaXw4Mn9PnNv7eBaGno3jzDP/jgSKm
4dUZcje+6jJ/Nu1VEG6N6vHTL+Ynujrwn598FcgcbPFMA0qIya/n87GlClArzdmMr9oCX71XgF0P
Ca1MwDXpu/VjvWHngeRzshfEZ7fAPtM5OPaocrdqGV5SNhPCDCNs7yqSogYsVHM6AF9apK5VSKKD
yPZdj11nQW522glrzqWZxLmCQDrW+jVm44MawzbNFkhprFbuxl4eL0FHvQSc9W/aCNrMWvCmcZuM
HPe7DwxQNVYzCwpq/Z2IGvDx4wJJnSigsw6DMmfbYBhtr1UaiNeuIJzXzbw1kjaHNyKMh0B37a2d
mvqzyOi/UwDcbCM1CS0/7Koyxa9UJY8FkSdaXBIY09JlpN1rOiUaCC7OFRGRCQWAyijoyE4Yrlom
PudhFpUFJ1Ck21rBSrbVigGy1poGbtWuSF9m7RTgTMR96VRCOfP5S6+JMFktuLFCybcOIoRndUh1
JNXpF7OdiPHRSA4dQXDnhq/X6M/mJO3mKKaCeChQv9vCrs3xJtSwAlVyco9ubdkHkHTySbU045HI
DIbulB4Co807Y+8Q/wfSKsxh3jm8kXFBDo17XxQYqizszD59c4YnyjFcpx1FdJWUE6cGs79yu872
W37nJ+qTmpcG/XmcWGJNo0MopIr2Cmw4Hws8Voa0H27nHilInVIftr97SzheW6Hv0OIyuQAVygxo
QWJ4fQE7tYoenczsT/zpes+qotnHWCbQp5G7xnSMDtbchb6NkrZt25RFn8serQl70a84Wmwtvd8N
Rg4JbxTNRaJ98YbJzkzbZ/qc8k1WRxejMPdO2MVeYKU7NlGJJ3X1pnGHO5qp+3v4aM4HUEYk88Sz
htH6KAhimlnjJUGlfVGVbiOtdqOIIvFdJdskDkLWiKDXWOW3pmnf86h+n+LpAceEV+v9waXilQcI
MJp5a4zqeXJ6T3fbHSLCaYY5KOv+VTU7lG1lkw4a7x+Kz7rpDWY27623gMCzN1ipzltc8k2Y/ZNp
EUqZLcO3mqQhAYlOqQzzSWRir0txtsqO5GDyVPLnwxyG1OXYftBbGymcXafOT2PQ+DQEi1WlViud
KrmV1uQqbmBI39qERmbbN/yMt2YHhmaMZomEzX7Z6NXoHBoWJTiBuLRp3pyHqj1KMXIxE15MK7Jv
pJm4yrLp6HITEe6jObD2RkronFLHEFs8KnOLE9i+64S85FV5gl6x7oV7yrr+EroI6KL0BbE/pqVx
JaaEgwhL/HVXc6SXtXqVKMlzkWjP1NEfoibBTukc4k67YJPF2MpWNk3PphETgq2m42zbzGIMCQ5t
cFVi7zrX9NwasTZEhpjm4eAU87Sv5jw/0Gf4LZvwFyohgsQkyV+ao55sK7fcBg2Yv3lSqs1fP3l/
wkXSCOWL77xXlX91/iAYhZOWNZOVUo5TJcLvU3fybZzWXkbT4KnN9MGze8rdijBjaprftbJqLlWV
qF8cRJxVMY63HRk9otJe4tqP6thuq9D6yJNYemWJhCFjCg5ZOmyKmWsa7DQlYmazHhhIaeaAMWI7
7Y4GpldaKbt1FDcPAlaTj8uaLbYKgjLN1+gozbjXSkLsbZBvtbjeCqO/SUWxbTL725Rmd8BPDx3t
ZHOTHqoO6HpZnBz41dt2mCjcmaKdoIJ63fTR2gpo7gmNeCtZ3XmN2twaU6ety9A6qKHLfU00AxAq
B/G4Hu/jqDeQmtiKiElcG9GcQ9eDq03yDrPEfBU28T4ZENCgNJKAq/bBogXgSUQ7cOhcJoNnyvKU
Sorg7FxcRylxqS4Dc00PJd/lzHut2RRxfZ3E6S2IO5T5vE89i7X7Wi8Z9ur6JtKbnoA6e7QaL7gx
GcCRxgh2gH2Mei6mkQvUYS+UJNVShEfMI4Osoj3F2eRluoWD3dgNPIf0pvhWuPZJrdSeBb3yLdAs
vPRUjaNPj3gNMm1PswfPsvYU2dZXoaYbVZ2QWtgoTJnQ1nEzJZBm5LU+wyD/HsczythBCom7hwLT
+RGTVn1OmWT/ZjOO6e6Pg4gFsNKxxdK8Yyzphs8jAlr9AFkmo5OOmnc9PtSiW/31zcDI9Okr8Cl1
m2MiEi2GIux/3y1CnyxAugUGzHGlvEqteKVY11EXgeG+ral3WYK7JBI3buz/9dfkAPo3X3X5uT99
1a5M2tKAn3BWp/zOFKTw0NfueCt+5XQHKh3H3bp1zEcr0Pc9QhPuI/oRUoSWtSoiqO31/LVQ7FPU
GuoaK/EmdQft1QmpGc/U+N5yssGTyXS0U+PJCpLxoKW6haw654XfzXbuO6WCxamEhmnn07TvRlt/
LfK43bDb1UnBRm8p16pfqVbo8QSevJaUxZrQ4F1npDP7r+SehY7YZxKk8tR+Y1ey46X0panrjdUM
zUqY8U7HC8z+lQklHfJ8O82duq4oRvTqweQIFY23IszhioFUr3T6dajpOnLRf1TNIBCvon1tKFhE
jC/jHD8aanIw24I94tLoEAU6FJw2ov+vM/fJHB9ZmHr5FAhPT1VAq0HCU1Z97FUcW1GcnZ1w3Ob1
4PfBzBWs+kkrMwTHEn9P5mCZjx2vToNzibeYfoidViy2KzneEfJigCuVL11LLa+ut+p6ttutUkYo
XF3xYsnqXKvZpSJ7BsSmXTXaoTepNOtNfWezc/NKTbvPp3AHWIIwSd1dlRbvSDqA95zr3p0KA1IQ
QWM2ja0sjZM9pOu/udz+7hpfBvFPV9sAC7wXlIucyVXfyCtlUx2rh2E7782ddXJ49azfxLBid3fO
n4cf1T1/WsC+lDH85AbDUIoXV5AkXL65T1+c8JmTE4NWzqWHBnwS63KDMVo7Ko/2BhXw/lpZnx57
P8Zd8ML/pFfTSV0dok2ArWiV/c138/uDzY+7XVcZL/EScYwy/xA3nNSB1a8Wh1ehekOBzCpSH+v+
x9H3T3/i3z+z/vdrIHB9/oHnOuuUMCRvUVTvst650+Wv/5w//RmoGsOpjI6GxPX7z5+N1sxuuuLl
rdxULveDycz54wn1r11I5w3y58d3snr/ORQvVfczY+vyob8e36EYkdHTcAUJknC/qxkhxmdiIOdQ
xTFuQRz9Jn3qGFvREGC2qLi8MA59kj6XGB83yPdPZoHP/ScLQQSE391ztNHhFnJxlyOj4lyyjT9c
5jQyZeNoTPX1pPQWEXTRadQ65yyw9lYX5teRYZ2jEJqBZbKp5rB4qSYGmFmqt3pg3CZ1916o9MGN
Y7hHGz2GtrbB+nmCXLJW+vmQ5jiHcs2bhc0cbYyvxOZOKh68ld5lV8KAkiPtUxMqm2JSLjxB7+0p
fzQJhbGPfHeQumrNIQ2X7xMQFqGiSLBjtDk64UM9DWvFUC9Tkl511FJi8bgiT98yjo0ny5m3Zq0R
rpf3JkR4hZ/IT+vh1Y3ac+Cywa/1Z9o/t33bHvLA2rQ6MEmjugrC8MoFO0AuEN9iedVh7NELntyj
eMS/vAs1HEjTtFISgohazK2l+bzsSEgBw1b7JyqQbsKwO8thWveIgcaAbSC1WMOU+CM+mtoVCwwE
slzXHQCvvaDWQfExHik33SuN66Gj3oZy3ipx7DFSs/OpkYenhgVSdL28cBIY/Fps3ZtNtpun5jZz
2tdcjFeKk1+FQXXqrQXK0x1wsew6ONO2LD/I31yhfhNkdDmDGbf24mhwlHLX2nm+MlJgeJ0Nbmni
eR8kL3phAMKBy0uvDDA7+7pT2pMUSyat39fMuI2t3MYuQ7caPBDOvMdVRIKYZBpt6XCWaREIA7Va
21l1jpx0KWoFDJFO5I8oUnixe7fegopAmDW7tRzLR5aH4Ypa+1d4IIy4dU3roP9DTw8ap453MdnJ
Pe/0Or425pkQQmxYub7t6xwDDuQqrx+bPc3d6raoEHaAwd0mRVse6HPt101F5YlGUPk8mjPt2NTN
IgwjaFBBiLFXn+NboYltQqgQXp/cxbnWsDQlkMmPhJFXwDfAiwaIqbQpvmFLTrZxMAin5aw/reku
MqaKsGfI6li3ks3ctUBcSsDpg2zunbpliLA6JJ4UU6uDmDKju5ts8VxFgAEN3tA0UBuM61mYG6NO
iP0lAwEvGP5p8L4k+BxsHsrAx53rrmW/OVHvUJUQqXRLUoleXESRPQwdZ4yypxo0wKQKvYu4Q1wa
r1K2+Uqtl7VwA+2rMVxYHoupd4y/uQqv2N6gEbzvw8pLhPMuS/c5n8Q9Ttd3vn9Eo0JtWF5zUtdL
ZqQwYxbCDAg1IyEE2pcaLTW1R1XxdR9mBwbKB2OcWAGrGGycAw1s0YaCZT+S4QPgI5+O5+oKok21
4QwZ8sRRrHORBneYp+jPdZPGF98rwwzszYOWfx3imd9yRVVz4RRLYLamw0bmmzgZ94GSbmPVjcD7
90+0FoBebMdrEL2vOJVfR6PnpTeSiaQ8Z6dbvclHptBb6KcUldg4JT45VvrboBBf24qdBo8plsHm
HhpNs+qs6OskdT65YrxFQZV5FuF3t2tfFRod0Hw45gWqV+XBI9DHfj3BtZxZCK8NPOxQh2iEaFmX
znX5JRz0zFPjJQNt8Xcfg+Arw+cSvA1sri99Q1k11bXA4qgOSaZ1UXBbsrRlH6HrH5kqRnJ+2MY6
bD9RQiRyyKp9FM0W31t/KJ3mesxwZjI3I25A/Q/Vq7DtH3JVPbQDR2lsyS7FBPg5IVOeklC9G2R7
NPPwC2AqFSuH5eV1zEHOGHTPGpVT1DnaKp+Se0yUJvXVpe2lNhUgd2GY5Jt6aGS4VooFXcWCGE5+
H+4NvHBhynE4V3FjqjPnwinn9Jk3WYGXVByaZLqUlCusbG1MLxF+jB/j67+ziMao/OezyPnl2/vP
kAHLR/06hrCBZZgFCqAJEwP5sgH9zZik/gIYjT0C6jEWF4t/+tWYZP9io+vTx8ixlyTa5zHE+gUb
OswPPkDXkOT/kXnZsJZR9/MeAUyAY1PCo8MIB7+1fBOfR2FF1aaGgKi8DuD42UtRe9uAak7pbtfb
9LFMlFU5tq430+5uLzXveSaREbqdSv+7sRTBD67JKW2AuG2nxxHs9mp2Y6pmeja19MgvZ0eeZNQ7
OFn6wCMD01Hkuj7uhzcNjhnH1u6q7eS61/oni6Z6jcZ6c6mu57n1bLnYkxAyH5AV1F2OkiSzIVjb
gdl7fNvFpuuYsiNyxFITT6RLc6+K2NJS3c3uT7GMzdgGH/3QvEMRgWuD5dh3CsL1KL53RRJeRpm/
zOrwoExA+1xL9uvCRF1OFCL3EBy9zgr5Dbg4Jxq7eMWL8Rba9VVGfpHHBD9iVzeJ35TajZLqC4zx
XJTzMaaCDK6ZSQFkJG7wb9youQ7CLyK+NDgUuKYoHVtAH4RjmuEtaGKwtxrMrSR0WAeGZGNSNf7S
99MNcT2MKyr08UZP7RNFOXdNFiADapcmH+pNnBpwEdz5GKbuIWzHIyEfdW0PIZ1Kbb+XGqQ4WTB0
EK0rVkVn0oQeNY7nQnu7b5KCsC7ZJDpW7BjncqsfwMAAykrGb6yqp4PsQ/L7uYqdNYudrT44CgYc
/WRV2r4ynBI3ZRBcJiWnk6Zq3c0kOdm7aeaupBJZ67zLw0thgQpYKlYiG0Gtep6goWwbCRAuLUOE
cmnz9iyNjU3wD34LG3IrDzatrOiVsXNC/TJ74x2frTUbDRnib+anOQf1MQueU5s4lazLc5SUNKVL
+jtAFW/iKB89de79KNAgVORWcxCiWpBaoWfjfvew23FBdkQ81cbQd7WYsrXs5reuVoEhNB1PfMXA
ZEPdOrGrJQ4Ti96bJ+eMP9r1nNF6r8seHIGrXeUDGXe95VJGXx492Ucpfh12ZJpi3eWh/tzbCeAs
9NxV49jprm1G2mvkcKdMmOYCFGh4DTlvFtKiWPyxPXc9l7Fr3wQqfvPKSI0d1Z5PbixeUV6J+ozU
Oo/NWckU8jyKQz3NABc1rF4n15j449ugDfLGtS64qVrjQBedRv88F2/kj/VEmml4h3PxOErueZE4
BYsc7FQTLrVJb/Ube8iehrxsvMBhsoSr1iF9TA8j2j8qLV7aMVJWzuAmXlG0E4X3xaNTdMN2SMm1
RpA0ArANeAylRSk0i/DKCaFUmPmXuQiua6s8daPbeF2Rf0RtdSf0cJ8L59g78Obb+EjF9FYg4odK
eFZj7PfFxILdSFlNZbVxqxZW72l83k01akdHZwOFML2nS0n47AGfBlfumsE4Ylb4sFp7w8tveTQZ
frGwGQsgjWIRnKqF21iN7UCx0sJyBOrojHIMOvinbfuYM1fw8gxLY6aAqi7u9KFrHpDVB7Ykgnp7
S4WnutMjx3yWSWEeWih78iaVqXT2OD2N50BagsJokwRIBjLVo0HyUWNL4puj4NIIZOoHXC87o0h6
n1ErXQ9cd75ZsoDgKnzqjG43U00AC9PaAU0LIOBh3+NclcOZDS7OPONU64DFZkzJpE5uUksi+XEi
JoIX8XhKUoGlO/6QtX2pAbDsqKbcTCCYdrSbpWsbRgD7JnYb/UNlFvOGu3jrBGCN3I6yBHW+cY3o
2CWTuS5L9UUbeY4X+QAxNrvVBi1dt23QLAwHcKZNcD0lqlhPGPRA8McjuLtBS/Z5gWhN3/aLXfR0
aQoicrYVnaIkfhXOwNOAWRH6ZF5N5Wp2zG1gGNyHKWYTW0m+MDFBFfWyZOeQGchnoBfRVumda6mZ
0aaf4g9LD+ktaRH3YSPYaeRriEdYVuFNp32FvT+Dojnr9KwHPP3qLJObXC8dpFzsn7GIgD4BhpqM
bKv3qrbOBjwYwqpuo9jECVTbp6CsbooGBmE1ENUml/mlCsWVEcKSNKWyMeuafKWdPyRWcVNk1ZVi
BTkQWahuTv8WD1a4Hcb0OJRjsUIfPgY0oJmVgz8kup7MIluL1jqUAZNpF5ebyFX3ZeM84yyItrpK
B4GlFBpcGooz9Uhfm0x2+QRsgTWZ7QLA0ITxbnGm2wz/z955NEduZdv6v/QcCngT8foOEol0TDKT
rmgmCFp4d+Dx698HSiqRrBLr6sW9EW/Qk25JLBbSAOfss/da35pYbDVQHHGGUAm3i8kfHFbCFDsd
Nq7bRqBt4AhifqTqdLDZJN3EWDm6JIyZZou1VVGoJET9doX0LdH4qmWgiaItGpabbpUpwUvsOBsD
p20h8VO/tF8hHj6XtXKSqeH6rYz6Tz2pUn59UU++5M/FU5T/JBhh/sU/S0os2wDZyMFVsUsydeFH
30tKfa42OSEbCuwCZCbfS8q3jEhVxkSN8E3V9NnF9k7rTrdVli2ULP+orUWW6Idykm6tbNA9o6Sk
v+aQ+zS3vd61ki0cXzbaOOkASdHlWEzxoE8vfs8JMzGIVG01ecU4GRBMkKVrcpvFhQPo+1y1OrTN
+Lty6yJgW0JGjidk2daKuGEXssYnQ4LzbIb+TIzBXBJXs+FEpdsU1D3/hCV9TVNtzrzFmAJ+YfC6
UnJWQlFv8zKRn4IKI0ulDuWqmM0tnNkb8L8YXpqCP6vNJpg2UcU96CWMMbNFZgo7Y9fn1i6OhQZS
R2yJQmfqgbOmVdtH0DAc4GbTDaZfdHOzoRc/zjgbczLL8EJH787s2bSTiTjwwHYBMRlReHM4I8cx
YRBB8NNCG4lss5EZLtTZDDQx2QXcVR/jGmxyPjbpXTebhxTlJtLrCElwchZVQciR2DmPJxoM2A9P
RznGmg1HvKeqrqEAmTZ7nN6kEJhm45I1W5ga4l92+ZutaTY4sS/KXv3mehJwmhf2bIXqSqQafC3S
gTjHEYSpg66m0Nwm0nfVLBFPumI4n2aDVV7ryfmA56qYzVfObMPy3xxZyTRFK8Dj2AFdLSdwMJ69
W2J2cXHMnzP7BvjClELYvOIQCAXtoNK/NLjsunsL9ObGzre56Lp1VmPA8k3JPo10ki0WjeOfJkS2
2fmpUrX+udKGd2lIqF+Ymw+BYLzaE1TjQSi4S5Qm8PymfJWdLHMRuu9TH6yvHY+HlDKKdMzsNaTD
wVyrOYy43tzMAiulCztxnTxBO9GZW9FV1g7ykeJ28XgZxniWUJev9ZD/cQT7+GC09kIfZ2xh1ALw
MBaN2tKdER2i/dPOKKXdqFnY7pBAHo23lFNB/UHDazA0V61JhSjjtNnDvOAwwY12QAcIibUyqhNT
L4qlVBRUz0zbmMy3a1JH7mcHeCPjZh+xB+76Ab4REc7KytB9+wxD6UrKnGdVqvdmnJ0XbXvtS9pp
XVoMZlWpPBulaNyqM38QFDjMYJz0wJ/SKzn2fYA/L400nEQpE2zd2o9h4XhWHK4r8OImNQLv+QC/
em9k2T1oshNDifZZyA4TtYZ/mtsUjZlZaqs2DACvDwHhrOmWBscmqfiS7NDalT1YKCm2/AWV50PQ
9jyBZnQYugI4cc6wRGq6zCWzx1XMdOs0hmcL8ZAJtJfIO3B7vZpWxNKSrQSUSAL9XLnDcB6ooBNw
oYdlvLVIQnH6we2VhkFtwyCTTfjaTuWDqrfXZifbUNacwuTMS3y2b0+voNkuaN1uLRL+tCzzzGbQ
yBwZTgwpcWmvP4TAnOloAhdDFRMbeD6S/MIu1Gcn4RnOUu2lccYLXRrMJTnUp2M1EYehuyXfMRN4
PJzIFpAagAaTYaz62RPqzyv8BEwok3gr2vA4FcMhIyQVM+vWHwqIYgXUJi6fGvJ5lg9nYzW6KqKU
3G+XEmYC2DTo/kGPMfXNSmJXa0BKxizmUKMn027dlDazhK0yCS1vLItDXso0VuViTQgNo/M2OKr4
NqIu2AxwubNC2nPgXEHooiBQocoNbsUjgq7c9YWyhPjh+k36ItKXwm8vBpRusS3DQMbR3+e3BkeO
eiIZRecakBN0Xz1wyL2sG3Ol0/8zguFCH5yrNCZlG/cPfrpeXme6cB3f4Q70JZS3MhTC7HVkcMYK
t+JE7tahvTRt/Kf0Q7cawKlhErey0uwmw77EnXJrh/VF0I3nbfacj+VLJRNoiPYY584M/C9XtT8u
k0D3Qnl0Ay0810R4WnTaherTaZCahSrwkTAJKGV5Izndxq4l+FjpZWwU+8ZQrgWv1CIDcmEapedL
gN3kdsWjeFY79krR6p3mg0gcKi8o+cCwjiyLCqq4rqtPfVvc8lfRggCIM9Z66fIkkaQVkkuQ9w91
XuNXkk6I2NpOkoWmEItKJ5JVSLzVIix9eIDhCFfCtNZq091kbX7f4I0eS2tL9wg5NR5lXCib3Da2
8pAVi8lwEOF0t72QbwoRXzAioaIeVpHf8tk5XpA3G6sxuDstEEDdOZS5k5KhQie1lwAeN/bgH2jK
b3M923W+choWDL3zliTOdDySwEVxCvC+t89j4ew1ZbgrTQRRgum46tjXvjDPa1Ef8tq4wOkrL2yl
vmyBMXQlR8LZwkZqxB6QGKEwlbzo6ZWIeaGaitsxaU5UYazLkghdQCWxRqR6Pxc9OSVzfi3Kcaeo
xYmk6uFB8kFwYA9IL2vk0i6ek52g6TD1PViQhI0nfubkeR03GVUt6p+FYzV3OtpCdW7LFzi+I+XZ
zEBfNNVtIsKtrCoH1ltk6SKBJVOfYFHhuUxxwE2ychcadblytOQqw+bEkTFZJ5pyjBPmWgk5b3nR
aysUuhs/Md1elTIvmgq3QxhrBX3gKqO6TFLERmF+5AC9jv1hN+TjcykhpKzjh4a4pxnVxBOAcSfu
LK9tA0+EUu5yzKckb90sZZPArL/pJPu564wV+ULroLNWxNN6ID1Yf6D5ozyaVkOWn4wNSL/GuKKP
hQCWgUheV4smSlwp7KVdDlmvlDlDAJgWSrFNpeZ0kvq7WpRPqKPQhdUOFrnhlNkEQEeZ7e9dSXv8
78A6DIQGKiNPorsc9PYfK8SmF0Iw3JUOckZTJVkUpDFwOPn6ItS577qav5ehqBkglmjYmjX1U1eT
fqBs0pKVDoP9KGhMtHcDXDzCRHA5fH2lnxW87680v5J3BW/hF6My+VxJtc9CnUmPRbz4tC3g97f3
Eca6ry/3SVnwVl/Di0V6rqKCoBf38XIqfRYbonlw7KT7pj2pgqc8ffr6Ej97R1TLFMtcBg/sp0v4
Jp54ZyzDI1nacb9umZ2kIYfKgPQMgI7NL0Jpf/KOANVyaAHegkXJ/HRimHtz6ig30RGo3CLSsE3A
eU5+8Z4+CT7mj+3DRT6JuWpfagzT5yKxIB5E7GMnXH79qf3qbcw/f3cfdM3UMBPlCvQi4Ya6SXEF
pvEXF/mkEvrhbXz6aspkTMouq6PjIMHXNOA/HkFqs8DdGegn64Pa1r+44s/eFj1xQAvMfw3MDh/f
VhLZWZTHSnS0qvNKDoif2Fr+6z//6HCbmTCSuQ8IF/14Dd/QJNPuRHzM69DLTEAHhdun119f5Gcf
HYmmEIkIdrNU59NFij60rCgicFyUd7m5DzkpMjsjhPIybk90mpS9f/71Fed76q/JytsaxBL31xU/
fVkIBBEUKyO9f0hRsO2g1PxiMZhBOu8ugXQEF4mFR2/OyDJ5Xj8tPnWhYwUblOwY7wGYbdk8TyGR
eMZ5eGG4JM2sSNJeff2uPl7yx3f16ZJMdbIBd1N87EwUhNBgVUazarH5+io//+x0PhJ2TsN8Swd7
9zSR8GJaDTLJo1+Re0ObF2vu11eYP/3P3w4zOe42B7ATtKqPN10Jv5HJlxQfLY6+o61Sbd5HOnPw
OP7Fe/nZJ/b+Sp8WOJSZhVAsMz4qxktonxv+ZTX9Ynn7+SXAHigOjiQMmh/fTKQkna1PQXLM84OB
rmCIVMb75i+2up89Qtxs36/y6atPRBc2Y8BVouSJeB1fkzyhrwxg0klzlJJ1avziO/rhbeEKtSyc
obAHgQp+1kiRNUgYiwUKuenWlbjvTa+aLr6+DX640T5dgl7a+2U77wI+0LBKj/2ULxQJgj9k7f+X
S8xzXIhTDn22j5eIhyGTUk5axzp9kqYtSWS/uMAPtzLvgZAaZCEGjTeEkx8vwNJpIdeAlkydl7UM
Y+NthNcnd17e3sh/urKq+u4bXT6QBfDCTt2MZw/Zy7//dfoinl6eab++/bft87//BeZLI9yc3/re
kpV/g9qMsw+nxsyh5UffW7JkBui2qTv0Q/+g//815f8cmfi9JcuUX8fbB1VM0zFwO/8oZRtpALfA
X6vdrDYEpkvFiNmbmlH/XHRrkkovpEqSgyIjjQE5HpWyG3WZLjG5Q9fGtiuAb7dVXJ0rFpk32PJQ
yW6G7Vb243U+j3fnFlRjf6OrUy7KqLtSNF2cyENahLf+PPExG6hTI4Wrm72NgxLmofiaN6VqINJn
aFQk42GQyKByLPXB50YmTyo5KRk05SaROhajp4ERVDnPolp7+MZY/tlkSFVqBX+BNpWbYDDgTNrF
Rq+dc+LlX7tCzKq+jB7SPPcqAURc+4zCSIWdXOzQWIoG5WAzLusz8lzNeYIWzLO0QdibzsSWnSX9
xjfVO32eu/UFoPpunsUVRdV5FBPxptQyDGo47Vyj8BmtVeFtC5p+mRtlsg5mgP5UyspKwxzEzFjD
ld2bTbgB5MgRuMLaB+4JThMuNSndhKGMGlGPYbIoCtjwKg8urMYabsyOVJXCgsoIWdc4RMg/3ECJ
lLNxpPE66OoxzGkG5vWIJ6RC3S6w5KzCIlPoGWRcWo3tG9+pmg2iJiZaoUAE1Ck0TIfEr3exIvJz
v220E7sUnPwyIBQBryGvop1uSaayRf4lJSuVsLRutBLlUak0fdm20sKq4vg07NoFlCPEGrAwQxhW
Cz2YVrKRneuwnHqX/EDgbiJ5QRlyg4huX8hIBsivW6dMBF2Cak6FI53WuOOQsUVLo0wvhjDflaq4
U6VkH/eIAiuVjMsg7L0mtJ90Bm8EW53l2cCMM2ysBB3FGKmepnUaXDIjjKdT6AUI7MhVTuawBk3v
fLra4bbNfHyXc6TDYKq2l03B0/QW9yAXBYdtOqQFaCu8DMRCgOJ7ovMMPBz3ggtCoF5q4eC1c5rE
rK+c4yXgIxv0yboYMR6te+h6Z80cR2HPwRRMXiOGZQFDcf4k4LNFSKvF4gDlJvKspDGcxCVsieCv
OfZCJv/CmoMwEoECYSwx6slQYcxo6Fy6sKoXpbW0kDP13hwUpDJjcdnP7GdnJM/cz2uLCEzKVubO
5GIQ4Au+/CXzg+e0IB+Rp8tt4hGHFIVNa0CUHTua4TJI17YeM69Q6PrSsHBQ4NHmV/RgmcuiARiI
+hKt7ls2ZETeR7LL66a4+s/+8bYTGFQNfz/VI+QjZzP5cQOZf+37BqL+RgnPJz4DRglcYg//voFo
v5nvuVZ/7B5QOjgxU7oqJIBp0NAobf4c6EH9oG5CJMYgEJs4RMp/AK+y5LkI+rB70B1zMLSrDv83
a9k+FhgSz6BZVXV2zJVSJ+L5bcAxthGAKsZX8+hjGLoOtbhVPhH/cT8VSDhYyi/ByiJesh7Hrg+9
sg0YApGxUGIJwjmVLlvdOpMbBRpTjHS4KFEv+4XT0Ssew5Vami1dULwwko+5itrTjf3iUONkkkx8
PobTP5OtVHghVPPWIRgUjdnJoE8o3NGfSawfQi6MZUGaFJpMRCONz8+sUaBnZXYoWvHYQdCdsmRc
cwx5lAbSbPuG1vEQbCxy3XMiSKDbhT5Ijf4O5dN12oxYmhLlUjOa28AmxwFFgA1nTzMPAXW+RxOi
QSuaCE8ZgwfLmnBCGlDobIB3UaQeCh2VWTipl7JiVYuwjc4ZIu4y2XjRGzQIgq4wmgsde6srQIHh
mz4RTsOfdjaZLG5bLdoWQ4tmNAlui9q8deJHrSeGQteeasd5Emp9EFN0YxTDU6Lb2VLViJWDoH2U
eLHYUPpNFqLdiRtiPSepBYaXRJd1pJ21pXQ2EUnjglKm96+C2kCnkG1jhaLSUIiv7WX9OA+LTuBG
BQtDghANCOUkDs1gHUutuaqCFJJyK3t2PVybtbTD7oVP3WpweZGNyBTuUI664wLjsreizNX12PRr
m9QLePktAT1jaq8TKxTLWAYlZXb+4BktM1Yl5afWqG5E0H/zbWuVRu3RlNuDjBzFlSSnWgs9Z+1W
7UWQJFvVIIMIZQ8D0H6CeCSLbSZhaRcqlGMAcr7bF90Jasgzho8qf5IAUElcoFI+9oG8DWJrcE01
XutxcZ01+saZCZXJZF43ccXKHHyDYfJCy0Ryk4n9zGjNWY2LZd1up1vSO8tloAJNssobqaUhk9b9
teTQh+VXU1ImpMrTuuRylNQRRYyJyVopXrNayuCtlaf66BwSneFtMw7qwi56xFJd7w32UBzQZQU8
K8KmjR0xlUmcTd+0pPtoYnhofARocl2SNCLYQbQkvmmTJZqYa60ho9B2Irz5CnECete6dkMJwRJP
SGUvys2gqL6rFfLJWPanOsGeyyyOgPgj3xy7OPTGvJrQzWVnUQ56jrEj6dQaeK4hmOZZ1UMyVNBT
NPlS13bS+JrIVcZmIi4Kq/YI8I1JTbA8Wy++4YR55bRHDpGlv4pJvnNqZ092wlk5jpcquQ4LUnxD
zyRdczFmZLm29UOK3xGR1hZH9k5vnTkFGD85914MaUyHkja+qrW4D6T2pC+a87SUTlGmJCtY0ssp
GU41h8QgRUZTxIZIDdsmUGygOuIFbF5LCcVrCiF0mQ7WAxbZe4slmkwkCfRNAWxv6G1z18xA3hoF
AmFY+i2rLkXYKLDDpeZTA0tpgW8oIhHWPqklMaBIaNtVOHU7gj87VxXBhRkOD3FkBItST0iGquoU
FSWA7loHEkzLC/cG9Wo4XDbEgrtDnHspXIsl9gnVy3ND8NAVPBK2eZpS+HnF4J8VqUayTusPriUF
l9QkzOGdS7AHG21Ae2jmDjqyMSXJuTwLAqVakS6Z3ooeoKzfA1KQLZU0lvnBNuIbJMeIK7qeKHWn
x3+jho9DXiDX0NFZ9fmOBf1i1ItuU9H+QYHfnpc6qJ5onu5wIlqT0oqAt9bA55g0Pu18F/qEFSdV
isWoO48MPadCzVD+Qtqz6Id4eZDyu113aZjYlKe8fSSHijBRWE0LYImha8aV5AaT9EqGCPtFKKK1
7SAnHotHU+PZrlJKcj0jWTYlqpOo6Sk/k4EILURR3So2ORWNjdspGwcTiQQSkRBH1rJgzTbKXEYh
KkNPb4rH1oluipIbqffzFbMThIt85SDLoN31GkjYBpLuisR7PtMuAlis9UD59AwOLBljgP0p+/Xu
mkndec+eSP2FWSIi44N5JpDcVBq53ez5TBXz3wAsAkOUJlwmenw6SiQo4UMi+lvue6xNmIuacS2Y
DxmFcYyD8mUg0Qd1S3xrmoyyeoFbwWzzPSj0ijpyOmX/h0ll5bMee9uAunL1UW29xJaLWwIB0m09
VddIRKplmms3El4XTr7PfZWuHD++ZrOXT8D0Iim0nW0dBQcrqq6cKdloErM+CzMHNqSiXYw6xyQD
QR1phcTM6xghxCzBtqynaCiIwYXJ5FZon1djYV8oflZ5MH+xJExD7pUlJXKXtv5WFuODKXEzNKA5
sMXbV0MOZMr2pV0UBA/wXPFEw7Aa4hI/UcHvW+URgaSyKBw58MAOP5XxoAOcj+50Gd9IXJlHEJLf
Ct2E55oOmynQXmO5t1hjFfQOqgg9e8jDlWmlAPQAYyxkJjYePe1moUSjs6gm5c6sgZeQWe1NJV+s
kFi1wxHUYmxhdTOl+IG8lVPcHyE6GB+ERFfi70/5qBuBZRpLUKvNhDw52cTEDrmRjYNGbkhLqtRZ
DohL3TMdm7EkcfOVHYhVBzGc+JSuWxI4TwwbzadRMm8gEyiLIPANN6ukq1D018IB/5hHUG77dI8a
CihWSy+USMiK7MvwsjExRvlpA6gahlYmO9d63h6DlMMCEV1zGIOEYcnkedK6ZjUEAG7JTdtKVE48
kLHMxLJ+JJzhOGDACfi02EIIdTHl3p2q6KUn0koqzVdTlq4kzWYTyKzOTZzk1ZrTsdRUfepGceKw
kyMfNp7qzlpXNiadPFB2iDJzYv4YIw1mchNkGaaaQaiu3cLPhpAS+I+cm/YUBjr+FwlqcBvvytk8
WLZxfIaJfutXgp/ZyV0gGYxI+/hKEYQFlq10YZHvgRan2OpOfzNQcyEOm0qUlUXuVbAiXMLLmIwm
FW8HLRPqKIEGuNBP7Ko42vYIVcdCYMBz92qqUOK4Z+D2JtpK7trbspv51kIBrp0DvRy1U82MiPY1
SN8k0+3SjPiODMixlJcD67TITwdd4M8xUVvbzROAh9pVouamGlA9Za18PaXRbhjTK1WXsmVfs6Ra
8mPXkRMCxkmDVo65sEjbfQmOLpcHeyGP+MmcUi64a+MXZ3b2dSbWryF/mTKBgxEqPAy6rarmt0Qm
LxHwX5cdWWA1VZ6VsPSFFXdm6PSgzwiGW6LyXMuDeDVDSjqrGO60jJqvixU3SuPbFsWV7/tLXEYP
vp08xk1LWkO1y6JGWQbZsMJzx06pwZusLM7uijcYQJf8qrgcathNurN1DPCO9OwbcrRGuuuLUQu9
0E89TG97MRTbNipnNUuHIylWSCgOLDU5T/PJvB1xJ9pnlWR0/AeD+QJcJcLCDNRT/zmDvp1BNVp+
f38GnV3TK/GQP0X100/UpfMvvzuJIiDFuA5djIJrDhh6dxJVOEz+AYx8o0n+1cp0VLzUAIe//9af
h1EwaoQzzH5n7NQccf8R9mw+an44inJ5Dsq0uue/VJfnRue7wZABOMKOfTEdJp4t21+0U/NPu+n8
rTLZySbncEpW/dNhdyp9sxzIAzjAngV5CPYW0aWB7uIXY6GP72QepH28zjz8ePdO0OaUlYgM5WCw
xipi31vP777h4+8fyvtUFKS77z+rH6/waV5DzZcTLsM7UQeoZPq15bxif8C4eHDajqMHWJLurmw3
bXRsCljA0UscrgJUYcV5k18GPYspGkQj8GwETYF+3saXPYv+ANX161eq0B5/963++Eo/TTC0SPLR
hcyfheb5VPtVedNiUoS3eejnuFOarNH4akmQqfhH2/zDv/i3PIi3iI6/bqvfXwByCmMGftPsUD/N
aGCAKE0nW+OB4w6aZcUR6T7RVa0hxEGvSteJ5bzdwvDdiQGrcttfKCnCxT6n6ulkaXKFgXtfLVu5
w7gk73qnAa+ZZrdqpu16X65pAkuxcj1oWbzWEie2oYaC2SeWCo3+tsSjrHbVCr3isqMADKdDZ0Ye
sMtFUUkowKa1GJxjBsd5ild+e1v7KYq4qzqwT3HpISY2lx1kPsrcLUE5rkWjY4xLoGBXRUlQlom0
euIwHo0KGU/t3pIzD7b0WN3WFOVUoYuqz0+URj+n1xuTz9PlKmdfSttSmzSg/FeNbi5pWzMzHzj8
R4G+JCcAp5Kdsakm6V2DEynLJs77BiFbCO5+D8f522/obUr21zfEBOPjg69/elz6yKljZNHTQV5r
G3877ZsbbU0f4VAvlH2zqVzhYWpzx5Xm7sSODu9yuJO24AbW8hqSwir+PVHub1/Q/PD89Xp+vGU/
TXV1QINWNt+yRbKFo573S86D1Qph29fPxnzrf3WdTwueHWVTGoZch45NejU8V7PU1iVCxPR/MW39
lB7940PwaRbq8LqE5tClCjUXPvewbAdSjRFUe+SGBIf+V2/tZysgbBTcrzbp8sZnSUZmZoNlwTA6
9EBl8umxk45ff3Y/WwDfX+DTZyfnBLl3gaoeoHTNBWIvwSv7ldTsVxf5tMo6g0NqKeOag9OdTNWu
Ma9U8/7r9zG/zs/3wPv38Wl5HNmrBdJ29cAM2B3SHvYtOdBnM/bg7UL/0xPe0+hJFHXx2vyf+W9+
KspR4MVt/uvjv9a//3vwUswj1Q//ggKYjvh5+yLGi5eaLsOf7en5T/53f/jHQPYKVe+///XwjA5p
GdWNiJ4atpcfhrU8n39fHp2CV3v6+S/9WRa9kbRtlHfz9JS2On/f97KI7AnDUlEVAfuZvTV/mW6I
nqAqcphvcX+DMfveon9jbBO8SBGD8UOV/1lM4pxz9e4OYXXU59mu6SiKyt/1O8f1XTFRFRU2rzAO
j1WLOH1TvfGqDeugAEJmIhW8wayJ/JzJ1m0Jbxhj8oy8Jja4EStYNKCw+zcsNuiDDfBnzX8ApBjL
Xt/nqXTCmyavVMH/oHj0ZKTgqCd5lGET1MO5fGnVAdnJZHDKcdPaISOdToHFIawb6Vug6WV+MS7E
2FoTzLaoCjcWfkqgESTNL7QBQOmmCoQTu/mMKTCrPhWHAMsnakAGDJYX0M7AHGubmHqbVnoxyJVb
/6/c++uXYpYF1B/v9f+fb/1ZNvP3tz4nA/QOiwfx+PAzlMH8y+8eAXSAMI917mja4+8fAfk3RA+y
Y6oknOgEsXx/BDTjNwV+JcBjOhxglXTWxz9PBtpv+NdMfE8aJwduoX8kcvi4m/AIOAgwaPHrPIk2
SHte3ft6WguJdm6w8ZyFDKDqs2G4e/exHH9fbt+X0/qn/XG+wvyEzzBk1gFCXD7tj61f641vDO1Z
Oxlz6sYrteFZ6scXhmheGywSglt7meka2D4p36rw9kQVe61V4r6XTGw8vbbOLbGRavkqbsOVXpfP
EihkNHR7ACODWzdJv5jC9KB0ipHsadlU2iHAA9Uj6YIMyYfoGmGVUeUU41QvetnYDigNgNrIJCZl
ockTHVn0+KP0GcwwQWqTkno6PjmOMoF0G5O4Tk69/tSG0GcbxQpgpoTVCWFtBQQF+4ApWPJSW9w6
Auo++jk6DrpOssXQK7RRi2alCJpbo8hPyPe8hza1h424dJxs3PcBaRRpXmzyvJlIKa+ufCNda1ME
2Y8MmWnK7yW5NxZQ9F+zRDo0A72tGvfyqsUPBnzg0qIalWTi2CvnPpGlTV62u4YWCFl54/mQAHSl
nbgIJrGESr+rLOvBV7p+QesDArO0bJPooalxCNaWvtBZB9MgPkio8Wn84wBW73Bb7ZzW2mSVsdfz
ylgKtTtN0UuYEBVFSS+e5gZBT863GEM49uv0KHyqu3oKT5pIvisrgplHKd7pkn4FZpgZwUSHWJv0
y0hDtRrWQ+i1drQdUzpORozlyY/NtVwh0i3M5L7VCduTmUSBvl4wn+hW8HR2WFpcvII3Oj67PjTO
zJqYj2Y6JJF+EWacvVo/W1t6dxr2YluM/TYY4puwY0aUOf0GkPIeFvSlqRSwO+L0Rs3rb4pvAaZs
V4Uwd/ZkrKRB3JM/QJJB46wlrb4rePPqmA1raZyekxSDkBW6wjeWWjLsSyiwi7bC6aSPNH0agK3E
EfqLwLTueQroncd3gT9rLEjDXTHk4rapXsci3thgVXWtvJ8N7JIkX9Z41kH/xkuieV3ZSB+nxD9P
MrLdwzHYJ/FsuMA4s9Ali1h2Z0YrhW4QBbRPs+zRUegbS8QGePZkGaf2QNssisyJwCKFKbF5GTv6
bVvW4FxVdrm0nJ+euGdcGp9ILTZvtYI4adB0nAPrLgYbi2I7tulJF8hMCE2t9pwUBodK5LXX1+ZZ
0KimFxkmcyqokE7l4x5wwD6FOK4xcDOR5vkWHczjbJQgdAGhjc4GEZn7qjTlJUynlsFbGTC8TfCa
II1a6uBCaKFLstdMOmVu4ycXhW0SlEJX8KQ0Z1PcqHLSFicNBKVSL+tt3tLtAyYeLxS1qjcMWGIv
iNo9GzRu+qQEtUumArk2jjcNKgZxPS29oqkK5ExRerBSmRCiVKrPcehhyvTLJ2Mavwlfe7CSasP6
dhpjYHcd8CzLMZX2PgAupqw0lxPTGNyGGLPLYo6nXCiWnzJGzC/6DpUPujNIuzZdbYZwsb7E4NES
JJefwJtgQVR40VZ/nrfs+6UFibOAH1L5G5qGc/agW07NnnjldWgAdkjlGwSl0Jrmw7KfrvMhuddj
31jU0cxI8U2Oo0w2fD2yHssepNM0Vdhf9arPrhIlI2840taaVQDjnQCChvaUQHCKxOlkJ2eaWm4S
pz5XKhOwSo3XEvMUDiFjyZK3VRW/9QKNc3c6dtemVF5laua2GeF5yxornjf2Teaw5rS7XjaL+5wg
LdZfCehpKC/HVtBaRdCzFCV5sPg6xchM2+o2TEq7Nd6pcc3SH974FVdQ2/Qqz7RoSc/B2bWjiHdp
HJzlaO3d1NLsLZ5jEjEL64qoQcheejyrs9S6Akrg+4hrqyvTH6/s3JhuJz+numqLekVnG5lCP6ya
EeJTKXf5GiI9GA9+Eeep0d6KKLVXgz0yVqT3G7Irhc1GB5u2ICBlpdkZkUtZcWd25TbvwYRZo9fW
xUEerV1SjddyGHsdEU6IMsLrNlWv7LZygLkPHfb/WCwLPx3nLj12MFm+0+jVLbVBr25bs1SWZYGM
DdlEcmFhiV0QB3+rDqgYfNUYmJFLDjmS8uh9vT1/OobNkGAbvw89RotKWzFn8fK7ChhTrqnZQZyf
NbPucACcavbnvahXX1/mc1Ptj+tQ7xszL/XHIqCxEIwEYX6WwROvTfWaVelo44ZluRSLfmQ0LMZ0
0+EzT+1kU6vhnlHXwlbzE1aqPd0RAgeS8xALpVnJnhYyPEIzkgf+C1niiPZ4BPSJBAE5ePj6pf/0
E+J4gmCIWHb0CR8/ISNri6hxkvwMFcEiGPH7QtctftGneUvseXdWJYvUctDtk4DBJ2Rwo3+8Ss10
ZMyStjsrCZ+G1qxvNdp4C9mv2Dcwr80eyltCJYtz7BHLEeJFb/e0ucaShUqDABNnGCCn9pzOpXOZ
syu1RXcGpirlKYGtbKjxtDCK4CwiVHXwDT5zlefGzLAxj44xXRhK+pA0qaukQbSe+gp+jUJsA6ne
AIW1J0moK/IhcMdqlclY08FSXBEhF4pkwVZEaROacN/VF+zPD4NloOYhrmCw0tNxskCFW6PEqLWP
T+WwJN1yAJVC7zBahg6zSyUKvvmtkl1VvcH+oQT4pEv8embZbEwFsnHBFqcgIRxjiyAzWT0A5QKl
P9FUU7R078sPLcNNw9qyLt7ZUprxlCubMdbvUoyrXl7mYME5w2nEIE06pcfAY7a0AhCdg5RtRIMi
K1OGHX3IB7QD4dNINqdsQtCz0vBULWZxVF2tmMIDOFKHi8w0U2IbQKaY/5e981qu3Mq27BdBAW9e
ARzH4+jdC4LMZMIDG958fQ9kXUlMKouMut0vHVFvUkiZOAA2tllrzjHncU/O7RdVMvRhvO+P44EP
Ej740gGgS/7reMAkUBIzYLQnS1FfNKcBCUja4Mkkq5wee/QcNhRmMP54ijn6dpzVLjPqkadCPnkE
mF8Nm2Mrze4wq0ejtB81nWZukxsV5C8ZIpCBqz2MUaX2dm+v5FLPtyqLuj8oceXbtcR+hIlIzsvC
i43qBrEmYpCowSzLAZRuYeUWolqb+UzJw3xxlgpLr5SWV+fqnYlCR2+m0EdB45tlQ5ERP7hbD+Zj
Ypu7IVC/Y5ZLscQyDZDGaxbjbeAkB6uv6YVrN6ZB1Cxq6W5Sb1CBHdMkuqli4zq3nI05tY+k1esu
+0Z5ZVYde0Ekx0039J69JDppxETIAbISxZReJMaEJxztSdGkRyXqK7+iy7aKcEz3M01laSxhHtQb
WU52DvAblYAFViNfT4EE2vawt+qER9JTLM3ITMjaW20QJ8ceCSCaXrSBdFeN9hFpgjBmQJIWftqn
Z3qbB6sw1wPRe5EVw7AqSJlz4qtUSOlusudV2YAFyMCRCTY0pRlyLuFj7CXnigSIH7ElLdQiuIxd
sm7bLsWjRtM4bD1FMQ9mQ6aKRnXaJjFvhZ7YG5YdatpFB0kJVqkykLCCa16KLxclQRiRKp+SaMkq
TgLv1lYgY4gG2RlOh52u+wpSNT8LhnXL8l7UufA7qUr8LJU2yWDvZ7ymlhMLd1BC3MUyk+6sKusE
yq0x2JeBrWzxR+/DoTpgqGbX22bSORNLmTyzLvRw2As1qRCBL0GCgibBICfbCL2U1HBKyGhpawhs
aaMir7k0jZUFmIrwPzqnJnnKMEut/kHIcLNy+WjCDVqNgX4gwgIVEX3Xfaf2Fq1bRcEkTpbC0M++
YN+wLScUyZNpbeueXYhVtqg9iKDqg1r5Ymn74kv9WYF/v4JGzpQ4Iu1OJut+3xxhDnhjj2ZnOKf1
UeHE8vl69KGC/nOleDczUAH7dcWOooLTBTNDWb4p1vd+vO6dQxE+wnf9/EJL5tI/5iDKdrpqUSSD
FbysjO/ubGjavkrkfjzNqDJXIh4bLw7UW6MJy11U0rlIx34vBHlypSIrR3uJDzeTUuIwQTrbwN/r
NYr0Q5ftq7HQbBfO8r0Ul+dStm4ytm+cery2UW/GkBDLog3XeRs/F4n+IEWZuA47AF9GFLWb3Oj2
RgL5XlNWk4LEgi3epmg164Hm6o2YcWUTz9xp7S7W1P1MrI4hnPOQ4udm2YaItU/VRfMlwYMnHFko
D7moEYwHu0EQh5KhGmiNHJwhyK5sCJ+q0akf1CV0U2208Iun+mu9BYY6C/37h/qhuJ6aOoE2gT2e
7PE5ml8n+wuf+Fd//4eFQ5Yy9sgEJJxi+0Yk6HS0uy+Gxeej4icZ892ooP2QyqkaTidDvYyhhvGY
5GjyPr/Ih9L9/zwlLEFsSZUFOv7r0ButBhKjzl04qqe239ohZ09yF4/WF29D/XWM/yx/EQWGTpvi
F1vTn1bRd3czQTwcwlmoJ7Yx31jU/NtsHfjSqndj78Et3Ied6fWH1+vYi+7H1Uu2ml75oputtvv8
htWlzvbZgv9hA+j0sSOckGmkXeN28OTVeNNtyOteOyvHy+q1suE5rxWvdmU3Wjm+6Ff6qfj2+a9Y
yvH/+BXvR+eHrkwGTMFWa57747hTV+TTrJ1Lyz03qGj8zYPhHeC0bJxTtB63pHtsbwM/3Ixb5j13
3sBvAn3opr7jS4duW2yaMzwOAAv+fel2J9mbNsbO2ZX7YVvf5eubz3/60i749Kd/eICS2sRoWGPG
pYtbZd28ibW4VfzKI5nKj/x4RVzVRbm5/HZYdTtUSKOXXEBHvkhOocfiAwTR/R5495//qp8d8I+v
9d0DNT90yGOowTXovukU7Rw38uYtEWq3BblOWKVc0w3c2oNYvkHEs1WfKaStPr/+8p388/J/f0cf
ZhumGmlqxDSe5LlcWcOwn+Fg9R3qqM+vs8wqn13nw6xjI91DlJVNJ/bUbj98k8ftYL5O2qqSW0pR
68+v9vtX/dddfawoSzmTv1El3SlCBDkF1yK8+r+7wIcznzbamWnmHKBSY68m1AEdy//8Cl+8GGv5
EN/NO1Iu7MKa+NBKcWrydC3Uxxki1ucX+eo5fZhFGyVrIKMk7Wlc3gr2PGdMvM8v8dV9fBhgXTk3
HcDs6TSgFo/NUw7NB0vt5xf5YnRZH2YlMwilieIcqwEKet0pVmnWnjWt8yzkgsmgnnpcWJ9f8rf3
ZfxMwsB6DNbj1/eDK1kLRNx2Jz3/USfrVIso8m0+v8ZvX8+7a3z4aLLQaaQq0seTkejU76/y/Iuq
wlcX+DAlgkEdtQRH5klm0qYYnZIL8/ktfEAp/Lmd+etT/IghiWKaPkHGOOZs4FZeeAGy7MgRATWJ
F63Cc/dl0M1CXPx0rlnu+t2nA2BIg8QVsUY9UhgumFWPIdd2hxflMO9693L2BP/BNVagj137SnKv
29Wyql8+VZfaBad24shXU+tuCy/afJXD89uFHELXX1uXjyMnrgdZCfjolPOykEtus8n0XaF4brrR
/YfCvQAZvP8hv3I4q++mPZLwL2avxVH96RP68N57qcGb70zsJXzgy/4C3zNdZ5/5187JPGibzn9S
18S4U7FdE2yx+Rp38dVPsD6sewRvIlcfRHuS9qU7Es/lJt+NNYmU++5t3IpVfrA2oK1/hE+aN27S
M6Lxt8+H5gfp0z+GpvVhnKS9lutNwdCs1+O6chU3XnZ1u9S77XcYtJHWu/MJnu0DYX5+vhYb67Jz
a79bEa/qRs9fZVX9PJj9Y438+3P/aCa3JYfeUMGUUq30jbmBATau5/V8iPeK+w143Rq/605sKeod
MKfcrdC68YraTbq+if1lk/A/m4P/17KV//9a9yqv+t+37o/lb0mx/Jm/OvbWH8CvcNLTlce+uWw1
/xStoGcxDQWEDDnEiHIN1rs/tbz2HwjXVfw/RBN86NhbS8eesD2yB/5zLa/m/LpL59BiAyYwoc5C
J7DQFnzYPDQzcJQO/9wp1Ir5UAFCYMIrbYTrvjSG/Ty7c0BhxJVUM8p8uw2sEtRpDia7i5OfaEc5
O9qLERWQX8g1Qgo7k6RTZO4wpq/IX8Gvps2DkWHub0EePgwd0HR/lkN0+DgAJEfsGr0mgMnpDXNE
42oBko6kMlxbRi153Vg8qDK2Hg1KfFtYtts0JB1Vvdy7QM7pGYVSgyKThj4WkbowyQbO2ahP8nUx
LRB0hVZeGQiw/Pm+qIKDMoz37GSXkjKaW5wxm07ssjyE6xfiyY7NJPZSq4VzP1qwyW0Ybl0wczAZ
5wfqhpcY2TqI+JqLSYXK4wg5Di4Q9c4cbSq+IXUxrMdd/9iO2HWUMNvnsWxAd5wum7KY1oPZkzvZ
OSTakSDiadY8+mnLN0zM4byajJqGpKyuCJ6d/KTDmzvY/XdJH/dwvumeQor18kD5Po6iRJ9PTV+u
thRWMy9XskNiq8KL6/q+M+DpJ9VwoB/QeX2MC32mIEpq1LqyOubsNPDyxXoX1IHYQTEK3VEvT4la
XpP+7gUWBhvS/SKccBR2mfNwudC4fdUxKLo1hc1Wg72bpX4W6ZLXi/BCD3I6+Bi3MIIhtm3HxK2z
Ml3bk0XigdYec2lW1mm2hKISEqyE4UNXEOGYlg6s7YkOnWSGlyiR6DE6FCir9qLvsK1Wcv0QIrZw
Z7bQ06TctOG4MkcoFsmobNMiuQ6L/hAbmp/S7XJNcyaHycB9ITA/b+s0iDwZ6S6kAByQlfZWZkqz
VQSeZaMoiYYq2k2k5VDJ0ztASPc5FlMku2cpEuAinZTGe4Ysys4Skh5IGrJsOrbQwmXtSRZU/S1Q
Ev2Q3YypsYNZj9t1YYpGNnCwiT0zA12NKG0hTtGcWd5Gw/BQIKDxE7V9GIPhXtGbW72hfI6VZFNE
zjlpDCymIG2N9nW0EB+QMjF4nZUK3Ij452zI51rb3QQJ1pUyUTq4leEubPRwW7XVNVLlJ4ioz5WB
z3CMsU06Sby0f3XF0+Xuro9lE+QpKdalGV1IUnkhW85LMcMzlcOKGkmp3FD3Wce1fisaGa1CeTnI
5O6MsXajE2Di25FMgMEoncJIP8aWkDwtpYEZZ/CRrWJTKNNLHs7jNp3CbddjH6JW5niFlBaQXbOS
OnTxlBRLatCSrJ2Ns7135AntsAJUUZ7rQ0yQVD5ApQ/UTF9hizdR7wzrrJnOiqLDP43g4NfVSVjW
HazP6KLONfxdyviWxs51QsPaNTWBnj4bJ5Qj04+hzxO378kNDkJV9yBe2WzslmBki4ZWQLYP+Z8M
HVmz3FTBB1WKGHfMVBoeGU7bNBxfzKhlBTWLYjWazrEzqqMi6W8plFq/HDP2X8CcPYO0g5nUg5r0
g7CMt9NcPhU/YxHIR7CWoASBYVteohPsUcK815kgWVV9F7Z0BOclakFRk6NC9sKEgX8ii8FyVGCf
wT7Pkl3UVjdBVP1AttP4RI8cJtIclu65WOIdtAmlhxwR+eAs4Q/1EgPRkwdhLcEQCQkRxRIVYS2h
EVmDo36JkRiWQIm4H+6dJWKiKyW+6SV2oojTp3EJohhJpEjp87i5rZUc+lTSQsitUIe3oSbGwloC
LYpJ30dm/jROPFHFgWQ6tCqx1uU9bsLFBSfdqzrkrZC8B9r0gEI1cKlN+c1R9ee5ln/0CoNBFOat
qHlhJHFqvpG1DVNEgZ47ty4xEyMXCBQszYNEwnx/ogtEVJwJRDw6z7kOBEtfQkl7DAozIS0Wjh0f
u+muK1NQxRRJd/pg3KgieIwskozrLH7LB/yVgT6Qswl6atuk/R2doNmjoUSzi0RdkLM/Nwf/3SUt
PfpPd0ntG8nqv5H38uf+3CmRFglSH3oaNLh/SRH/2imRFol6EXqXaZLW+DMS8s+dkknEpGMC22X1
fyfuRfNo2TYaSY7bKk4lfuCfAufLf22k0Ub/e6fBh2LmUtvV8PM6pD1psNC0j2f4XGQ6nlWbooQ2
92shBzq2UevJAjpTWt2D2pp36XwVTP1GrZSVWtlXXRveBdmcerDHNQ/TOWFp09E8JKH0TRvSuxxR
Bs2GOtmg5Hs1W1j40xDuRJ5s5RCoAkvL2lDqwItIKPNUWXmWil68Km0Rk9ubDSumuYCgooQ8ktrc
BmF9UQxAQhMtesghJxeT8zRDV86EjYs6rl6mJL1yIu2lNpXHsZ9Uz2zHxaZfelOUlr6okn3XoWgz
KFY9TLL9HBORsS8EjUBlMJD9iuQu7bJnBCrzTs85ZTSkhRM2uZ0r9blv8pODUZM+2Q0Jhyldm8op
Yfokw10XxU92LG0HuXxoaim8sFThO/i986I/KQlnJuox4xSf9I5MugkZAOrl76Voz+weya4xh5MT
D5oLcWGnl2tyB9CugeZWb5ZYYQjkbfpUqRGTn0g2TTMvKKrez3S40a1RAwFKVNjIeuCWRtPAnHKW
BiGCg0A6UJkbtmWLozaIu9VQJteioS8qw7/SiZ3y+izbVmX2vYbc67dqA1qolje1OUee0XeXk+1s
5YTlScabuYkKGOQxmP6s4HoZ6GwjnMFv1K/yTEhnIwO9xMBbwhwmCs9Zwo8O0JFpcTqnXOi+mRiL
DCNBxhkRAW/5uMvpguoQzTPZIHgkYoIPoZR75oAfO0t15NtWQystbkFXWDhPp9gBf58THNNaL3g3
d/Ru23XXgKqQIWCp6nQ1WCiyLAVaaaV9m5aGql4l14XCnjnizUlCuzNQu1Z5Vq/w6NmHSlJ2mV0e
sX0/9/l4HzX4lSubJM5hCvzZNFkukw4yU83GJE3aXT+1pd9X6UMXowmcbdaAOMqvEO9qXtqPW6Tu
5RpxK3qwyRzcFMeUSms7sQDL5+W+FOKs19E6NeUNUhLQ6uynRE8qwpRpNwkaVgS7+1YZjuXMyYQA
hgsCkg4IDHZq3hH4h3wVJcJr0oQ7Jwo32Awz17SbW8ALN6KT7mAC7+SivOhIli5Nc5fK4VmSi+ei
ye7MtOKhzsNB1+q91pXHrk9b0h6J8Mz7zRjEB32Bv8zDVjjlTlnoi5OOcj66CHUZceek7QU59kMj
X8qRnq07lLJB2D4OGPmBCMxsq9qz6JCVIGa5IBH12ojFPo37LS0qTP5ZjsmtV8/4TY6hsCDG96RJ
TJZLPsVNUzYPLIn7YEyOXYQiIJyuC3R8VOOihzTDYj/ED2FqbYyw3OZmbO+IfNoAlYgYHe1RK0iL
5LwJMSzcccq8yqUeSalcEcha78iQfZRHcrVtOct8R+2uUcIeuiUtc7bouIM3fMRFsLU61uqp9dVx
5nBmF0ciXp9n29kMEtwwh21a3D8VdbdtDPnH3FAuBruzmpvgMeYQzNFuhmZ0reJO8TJ7yIiiLA3m
vlEDXKLnM268bO+E3UF30t3YdtT8FWcfRdFZ77N9EE6DC0H8OARkkMVOsQCECOeuMwRKzqYqnVNd
EPVlo8zLK1lBSqrcx/jtRkV/0FLpRDntBlyASWan8SqUka8xxIg57JVQehjl/qwRcivjvIpMi2yx
aXhRJY5BsQhJEIArU7W8i1ox1kWHuAk+z7PQtOPkcPxt43qblskmLcRANKpyTyzARdX0bhShh2uk
K9gViqfqtzQ2CI+fX5PMupnBfh0KoxI7OaT7kBdHqZADTN1oxmfjWRHmxlIDV9cGY5u0pr4a6lHd
Limzqhq+pewQsXks2BhrOigKW2ZFQe4ko8y0KpRZDArhqSN7ezOUt02Ob3GIbyqO+lMX3gZ1swU1
w8lvsO8RIW6459twyh7aKqKwpV+mi4ZWBqCSmBPTyrgx9PI8tOFtLM/ExJr9ViLnvp1xATbm1Zwp
AIIcHg1eOQz52OWnq75Tb1LQaCsZ1B1yoAG8nTJcCc08NnRGzBWwNTVbdUMV3xtY3Zn8TWuvFphO
c1AdSHJMN69IKIltlKIpNQqiaFyz5pZAwW3ZMG6ssHAQABo2KRp9sZqluFq8nLEb9sAz+i5/7cH+
EJqbrFlhCCqxNSSSKGhHtLlG2W6DiAStMWtZYnqnv6CNjwEWik5RNwTOEEKXTgWgkaRWXChx9srI
soe+JD9XnswlkdUu1giaLMnNE5OA+zw8DEorzkWltI+JYkF4MeZaWnf2YFw1Q0E0tD0jQRsynUxG
EJAK2ESkB7MiHci4uehFfKna6Vofk5Wlzvd5FVyHqJO7SiWfB+aMmtnoa5TqMYAcs0DuV7WCxLZP
x02H1mqlte1rn3SektpPeqAd+4HAFYFwGokT/gkY380tqtHJt63ohZn1XtbqLQlBZ9kY34JE2+MI
AG5HnjEDqfQaSXsUs7G34vwYxJnGDjlHWg3oX5BS0LFEYysiJKIOzgmFjiwtr9uG2GFYijsRmgdj
jLdKPUOGEjv08mgH5dSPLZJizUS7cob8ph1ZMMpp8vOiuC2yoaA0ke45dO5kWTqCn/HYCm3Usdq1
Aer5NNqFVrXHr/Bg6tqeoO2LWmOl1ex1aotvHIxXSRpejQE7hYnQiDmIVjWnYaNq3/LIOUgFMc4M
unHs9uCMvpmaHLqNU+xKOb6u1WQFSwg/APUtLSf5bZRvmiWjti0Agk0kW0xWuJrrASADEsMAOUnn
NOs2UbZ5pz7CAYZRpIxrIpkp7mD3DhiPcZFVzO7pY0avifA0TJ1wM50Uz1YXZjtJJPeOAxvLni+h
M9AhapXbaQBqmYiHEk8/J2cVJX4ffw/qsodPRLZ2G2knbCenINSeR7lFN58ItHbWJnHinRPLDlby
YN+n85uYjFMr8KEwv7cHU2WwhOVgUFmiwhVNQlkFk2mfS6W8KHTqCRk2r6iVrzJdOpAqvITbaesG
shLxypHi1g3JAdFkPhkDkTwOMw0BC+NhHG1yUYbygajpKyGZT6qaBGsRV48yWRdYJrt12vQZaQjc
tR0oW2eZeqCxuKgyo21YZ4kH0vMoQNSloTSf8RTshRLCWTGR9VR1zkkR5VA1VYWv8280PX2lR1IY
j2KTzfmOmgHy0bY7zPWyahv647hoPRMgJz72bbIjJv2kpPEpHVIPoXe0s6K5OQiCM9x41FDqZOHF
UAdXTpM9EYakb5fP3dQWTHnBao5eXnuyo5bAZv2KOmJ8cACs2IrYhUK+VckFnEtDJo2lo5ABFC5P
D1UobzpLr93QyH8ATkVEq6kcZu3btC0vYk74KeXAPhvGVaO2j5NSXTtjVaCJtE6JEp5yK1lnlj7t
izG5rzLnSR+1a8IJyr2hAanqQhNRXqs/zTn4DzRSCz6OGkzPXyxVyroEgeKLQu+3SZaRnEUQFymj
ei5rN+C7VI4RdU211s4mXaUUp5nSSlViPO7/cXPXMfGmWai3OEsByP6106bGsgwdrojPiYCLXByb
eXQd/ebdsfJ/zm3vDWJLh/jXtshyEVPRTXh/C4j714ukwVgDTWpiRPQ7qTjKYIwWl9Bw+/llqNn/
8zLWIsXA9UnB60OjOpBlh1OAzMZd/TGUd5L2H+uuFpubIquQKHlcH59V40xmWZp5di4GBtrWDr6Q
of/m9wMXUXlCPKgldu7XxxRaS4HWqPKzzbnDuDScL3rF/+yq8hrePZ8P71o3U4XyPc+HUEeYeqmy
rjHEUW9/yxL/81fxm0uhKDQX+raBhtn58Coym3rhMJfpGSUoYSmt7CIJD3WPZRhR4efXWn72h9H1
y2tZ+vzvmsWyEue9ZWbZWWge9TeDc1frM6dO/frzC/3upt6//w83VViJQ8bIvy5EVRyqxBitWUeW
pVh8MdaWH/3xpvAsLwAA+OjqT1Hbu5vSDDATLLzFudHWQfbSA3wMvn1+O78bbu8u8XG4zeA3yxBM
8LmwX5LgSZf+F8PZwVGByxs3JADwX99LUoEr0iW1OCfMgBRws+l/MXnRIZNxtGp8NubPDvW7h1RI
Bft73H3n2XoZrFO3dHzaL+au3710BjE+dX2JKl8iJd+PLsKVRYGeOz8TP0UQ3tJxMa56tPi0yrQv
RvJvrmXL3IaqgPQgi+PDE4sCmyJbYhTnaDlTr+IliW8FDbVkj3X98+X/t+S5SJj/fcnzqcx+A3la
/sxf5U7lDwBEMIN51baDHejvxjDpojoQATrDnBAt/vF9Yxj/Az1hg0qksqw+f1u57T8oUeKK5Eum
Owys5T+peKo/F7G/JwYqnqQPsXlejGMW/RCHH/F+PLb1kBSZmuCHbAPi121g3EF926p55CUqx/9Z
KcrbuFeys9rm+U3TBbiqZQWWEVlM4AgQa5KRTJ9W106L+XzVZvnoTVbyps0moG0+tz12i1enG8Rt
OZXNClTleOmQ7uflOS4Hh9BvGmP9kXQz1KOF4/dxVJ7zkAINSITwWmEh23TYrVYhUWl+oyh3OV7r
bcYWmy2wthEGoWuTfRtWHboNPYHYwtHqnMVj7ummgxXaBCS5HH1nNb6r9KE8RupUrFvilz26VdhU
eARndEnBmv21QyWwNM7hoFJgzEEwDcIiojjUYK8VMzaJ0IIITHdUJ07SLbr80FXTJnWkpwFTASGn
nUfQO1vcSFzInb5KrVBeqWF/kdbSvi/te57msaRTzeSC66I0u9wt0ujZ6HXqhbBEMV89hJTVaqMA
XhqFdC/C+KbVSS3TMgnGZqFYnhmG23TGBi6Z+Rss94xIR/PCrDk9tDA+oQMlOEEkI1xHwSATCDfT
i2Pj7ZjippSCk55Nr/Ycb6kxYz4W2vdgai6lhg5ranPmrtulsourQpvZTs/BfDJKXmkr2J9Pw2Wa
a6+qVj/MQ/pNCrDjlVF0wdngbJK06FpiQT6GMq60Qd1hXUMk342NP4TOGYtt66m5ToiieSjH3Kaw
rtGlUqInEc5Xuq7vk4oylETZiR5VinsqWCqhdpXaZ430Ve1VphMw7SzOnisrCvdSALYWVG0d+pkB
GiiyjDepgUrb2dhkpWlNCgHeNCbCo9xnF2CnavpZWH5V0p5pNiRketJ+DmQl8kODPOjJICa2wq3S
SLN6XRsGYZJ2jR0gTL9VqtAxrsXTKs5JMCgTZy3LaeJSseAhx02wQz2LqM0gQHPgA/ew0221UFxn
RTEysvXdaNNvgvgh3xYRFkVyuLdKSfh8TQkd24wJSjoACanD29em4G2CxhzDlN6lhnFbt8Gziuff
s1LNsyznRE5stht0g9rJ0Mnkcps7Aiv1s9VCXaQc1HpCic31WOs3fVrSAm2NA8dtMFv0DTxZMi7q
rIsvlKncV3qm7Koy5i21yMe1x0YJztIQknhNb1CnaoRzmmw7J683DelYGBsj366y1ygzqO0JPnU+
EyGsccltfRZRc4GuQuxSiU56FivKORqE5gedFF3TqA45gZLBScbaqa/oxCaOuVInh7Ju0TPOSVog
+Xq8mhSad1MlYBBMM1Z5VQ22ctVykiGSaTOFgePLGNx2oir2YSTjrg877aIxw/miShRpo5dYP8tK
XJkS4d1zOl1IcvgopFy7VBMMasx+6U6KgWVHqbiQSEMMxxBldyKeKvJBfzQFFIeIz/jKSpI3XCqt
iglKa+t/LdX/XT+XgJR/v36eXgS7wH8ghPgzf62f6h8yJz2WQIvsLWdZJP8UVrF+kmTGkgbHmuVz
4Sf+2S60/4AeBJ2ELiNtPIAp79dPxdAXQIq2xMj8h8R+Ft5fNtbL+klPkl28STsTwor24bRQQy/W
jV6dz0I0RFlyRHdrh9wIYUx3SlJtgiVhYwAKHIjuVe6C59jEgiqP+r4xggylh3TnYDKUjelozARM
GsTtIo9tEWnEZzPO1lNgX8pZCDsU9g9TsrxJR+c4aMahzMuNHTrbLlEpyIHlt036kHXI1NaaA57I
slu3mvImmcUekjZJeb0eHq0F6S+JNHDtylhNKs36SiIfFuC9bAx4H1X73hLaJYWzs0F8jdvVBXYx
rc/uU3OChZBiqjWcK8z1kAtTrzCQikwGqdhhVmLab/W3oQyT4zx3AiIO15mMfjNLdQiCAKi6SflM
SuU1WHFaJhlxBS01LNaEUGCmDdOVKgZAHMtkAi8FYqqxdphlQoAQ7TLtiL7ZdD9nolJPNuMyOVly
tC6HdFsvqo1l9sLu6tfLfKYysWkyQFiFqS5Y5jy7lvE/p3TklvnQGcybapkhp2WupPPKXTjMn4j5
ceszo5Yz7FtjmWXZO+HX08jZZv5tmIhBAt4my8wcS9pWZ6rmlF+4OUGpQHNyv1nmc3WZ2SWm+HKZ
66tl1qeXCJh7NHbUQEdfZ2kgn2ZLTrflRcuqEc6sH+WyktD9AxaxrC64soCsI8abl5WnCtChQN7/
VisUOPtKYZu1rFTOsmbNLF7RsoqxSYt8qVXwrQ6yk3JcUnMCvYNiZ8Kb2MJ5wjUp2elO2IY/WjoE
KV3XXGo7yaaFtV1ta1x7wY1NHMOFYkbfQ6kUACpT52IWUYzru97VVXhLuxNFUatudUm0HuenVRN1
xqq3KZj1Rbkv7PrYNPmPcixq/PYDQUb9o2horyDguu/UKqFO7WheH4jHvrHlldXMh64YD3kuL8z5
5Gpu7R7vS7hpB+OIgIlPQrpvBwW36zBvE5XKnxmy5pGz09mEc8dI2XCClS5JOxtUhofMJIUCG+oz
yNFzL6d3zkgXOTeCXahWqLom2qqJUsWrOgH5EEfFiyOnxygkFiILo5XsOMcic7YtB1xvsKTvcRDf
wfdkmZdwdiWq/F2LxX2f2r4UZsC3bFV56WsDiLb01OsL+L2FHjkiflEmM70yU/25FeQb48W05mZP
6Rq/JEqieNbh4RvnsSzVI77aTSbTHxKWuddGUDY1FWhJja5hqpBEEE/PqnWbSit9svcijtdOD9wv
iOLaK4TElt1iL5pmVzbeYMRe9ZOQ2uvE7AIUWvNlZBAZD4re1wY8xYDuJcnczg1sojagVSzXZNMi
dXKzyDlajrOzMClDIfM6nbeuktzbk92xSfP52THBXbcg3E1oaAapN5mUhB4+0EM3zDtHxK+Eustu
oCi+nQ8OgVbJTZsZr05NQjO7QjqOlXUfSm3hKXnAR4wX2tWilvwn5kLXmbNx0xQQdP6VhvrfFXcp
vPz7Ffcy6/KX5p9r7vKn/lpz5T8Y0xRBfsao/RqRA4EPjY6FdIcy0gLT+3PN1WVydQheAwtmaLpC
Xs7fa67zx0L0WrhhChW8RcDzQZXzmUoHPdDHNRexDwQcfgWrvI1S59czqw7KCWzeBMQWBVq6JS8K
XC0HhGMSZJ4+N1d2ND8EaN/Uqs02nDoepBhERr7kyzCNAMERbpyOd3UropVW1ldmX24cXd53Ab2q
fNxpHFbmbmsk0lMZhhcBhyg7PCuJEx6ZmYknMCbHtxRq22mDssGE7JTppHMisYawFNhPEP+yla1J
LRvn9mkuOUSqUO41o7+MhxaPWyHF/Hd5P/co4VRNO2J5JgTCyu4LCURtXstvsWh+wGL4bku09Mou
hRqljje5PQ5ErelPwyQ91LNuuuNc+UASbBLvnVNhTtNe0tNrU5l6joS4KEagUAhe+R+D5ocRdDr/
Y/Ot7hVIOaWKPjVeuL9wTvOormhsaN/k9NGYLqPGJCON8DqCS7bmkuMbWG3tD9ow6Z6RkoOOUkVj
ChGAA2kMa63zosQ6lvl4JNAuKvoIIWGRbpGeVytwRKQC6KNYyQE5oJRMlkaI/X/YO5PutpE0i/6V
Pr2HD+Zh0RuS4CRREjVLGxzZkgAEEJjnX983lJUuZ3VW9cl9bm3ToiQw4hveuy/f6vOcIQwZGmPt
gi9HnD12ZxQwBt9Y3pyH0hIIt4eaIBPOVlNF4rQNwSFJLcByFeh2Ze0+l0tjrsaegDK7sf1VWdIc
dn3irCCfyTAKIoel9zifeTZtgkmEvhHgH5LSLY8BG6VVhFD2FDk67Iagb48Jod+7qYnnFesgMgpq
6I7IW61oZ2T9pxmU/q5OyA+psyjeg434PnT8+kw/qEPkp6jBa4qwFOHUHrD2R6CV0E3qcQQrwqPa
BPYh1wkRYEqQ3/gWNY/RFkAXtTkNA6Owd3ZuEZ4+tM7OT+oPORnBDqEzDMhGy2+IOoqP/OTwx0Rj
8eYrTII5p/o+0klVbXW0nYVJBosFuQ18m4fhUcKZ/F7NxD6XLaFDraJedL7WXIxeOQJigKAcJIjK
KgiCuwqNesgvj4io1vlE6gvhbU4+kcFaO6X5T1b6IpFVBVXCVefb33WJdD6JYFSOEkluLNmy1aSW
hFE8GkQgRYW7EQWacj5z8bHhvtyPS1Z0YSJ8pgyT5U9cXlwdnznieXAThnkuDXAVzKvaC7KkdCQ6
VQrLbbrPNYM2X8+dVWEFGYqy+nHWgnitL8ygSth6VB8Tmq32RYvrp7xUcBM/GMNELlM4SBy0QieC
wJvFI4OtGwHp6pWu01uZSZwglvDRY1esFMHiQI0DWOHC2SwLrz4EvfuR5MNrr0fbMfaT9RRon6Po
lLw8fbFA1aFEe55cQgBQwsKcko06RIITPwrYUxDB+ZxqvSrOpX+v+85NbSTHCvDRqmjKK0+3f5hu
8DTk2rQxmgm2f+Mf/KbZ45e8a5fgoU7cKNQ7LmHmXGQnzumKQmTeWSZbPFEgFfHJpB/jlqIpuY11
/AVezJSph79z4ejL2ySQvI8F84SSYY0XXfsWTI3JgoAFNJRPCoMRAsjYe6d5sbJREX0XflG8ulkH
9c8a2PTbvcUmN7CPLhnWKxtSC/J18HEt/BWp9wU71PqmHLU7t22VGDlLjzEykdVUxqQxzqPPW9IU
2K9zt9XEmRSVY3yWbLCgkSGd6dWHZ9FJR2CxK/Zd5SShiNJgR9xSepvHTbXxTaQ2nDD9rhVuvNKc
KdhVtjGHi0h8PtpIQPTIm3cTSUJhROIWEgRph8EiUJc3zieUmYVImOWApuZaR2UlLXFJlK8MgbOY
O2tEYm7pFd4qu023DJP0XR4xd7SJNNyb7uRsRIW0IskXFv6puTOtiaNe8G4TyafWHKmhCICJCcnI
ASVVnFJ6HRm7EWrA2QEZtifqJV71wnB3mqBTFHJChhd3eMolhT3HVP/3cOG3YFiVJf3vS527tx/N
m2S48CcjevXKn+WO8Y2RoQ9olUkkAwNa/J8jBoNBAqL13/+GV/1zxEBeMbcylzOjBjWH/0lb9b/p
lEGGR0StSgvEjvoXyh28YP9a7ngUXOrdsSlgS/CvqcOWGIoWNeh4PeW+IvykYOUGsHGVGNbSm7ot
eaItn0vHHl5GIS+qlo8EMFgPhl9KBtUcA1kofOM2jt2QhlWu5Mzg3dVT7ULvljcnMhfQVN3H6NZt
6CGpWVV5dGf1mntiGJcQbWnVfFyH+oqFfCji5LEjO3SE+r1NA/8oO/OIseszm+bHMZFHz86u6xzB
lGHugxTHQiC4G1JpVaiJDGSGs4WRUbfbdRwA9WJ6+SE8+2F0tdds0D7GgcbAi7A1TeM8EaIp3+Gw
xiswpVedPvScjgXugYwpwRBADCAcaoORxYDyh19s6EGE9XP5mMjybLpx6JYIjb2ZgJa6BzAZN7s+
PsXpwa2s27p1kTVGH4vSaRY3roGij2xVoIHudpnEk6zJIDWjH0nh3A8Ok21dfM6xXW3S3Dz7zTyj
7eUGG+KWfpDJ4NwTPtfnSb6dOnxwdcDZ2rjzncQSQWwMvB0aXLG28gTNbcG6YyntZS1TY1m3ES46
jsV2Y3dM9hMIllLDd9trQoHWzM1k5lxesw2qMiUPyik169TUSn5VUslkiFOODFluy3ZCesJafkdv
dXDYZm8aq0tRxAln30fBnD0WsebFJ7Nd5BMeJC1Y5bKu+PENy3qyKGeHKaVScfzPFrXOlAzXSdcg
i5Nt5526qGuD18ZZ0ncsPp6GmYfOOLUNCIpoIa89naEqtxXiJ7ViqdSyRaq1C2OEx6ZLpz2bqNdM
rWYctaQZ1bpGq1jcmGxwgmI8WNLZEU3WI/RhLtKw7dF6jt9eHy1ATkuxIyUtvpW2rFdeyza4ZWNU
q9WRxQ5pQjB+zxPAGMv2SnxxrJrIMWtDX62fYvZQrVpIeZk5IEpLPiqDamGxZx2NqXGlEV/M4I2d
FimG4KGCrt83auFlIla9q906vx5Kr7jP1GKMwXrCyISlFjuzrnNhGKmIlDh19pNLPnMfaVzLSIvZ
CM2IKYNorZEeuJb44EInRYrKqplZRhq5x27W36aoWtfJ+OjPdsWQSZ9X3JliE9sBVe9kawfiF8fX
TIwjEt062qR+V+zwBmY/Mstp9znKSpIn/GM2JtN+YGYSQqBV7EyGHivXCZrzaBnRJXxg/+QP81Xr
esEqIDRtDdqTT6YcWJ7p/rTpwNqeNH+BGGwQ4JeBeAy/juG/W29l0P7399H9R/Im/2TcrV71y12E
9oDdLwxNl2aaW+XnXWQxCQcmabOxNfHBcE384y5SrbdjEocOQwA0PVjZf95FwTc6cdRLemB+mWf+
0l3kGH8UxzDutrHmGOprARh0vwbrv66Li5ymFTmrfz0ESdZuhGU9xI6+F0WhHfs8Do2OA83RhnkV
Df2BA9xYldJ0Q2MIjp2TuWtk1MY2FoBWtbLe9UKyQjVSMmldGYq++hGbE0tU0PNTtMNy0GsbS+sf
Wyiwt7MU485tXB5ie3YPYvI2bg2nu4ICeHJMu2coasIZ8ozvHa2uHvXdnlnyFUpPZYNQLWE69bez
MZ09zDbnupL5Os5GwlVyNqaN7xK7hbllFfdBBeKyClagqwi1y7Yi7rW9IbwoFKrFwQj9bhSQ+Dft
gIC5K8TAPpPONK5IPO8sbtAsKozryGQsPvUFf5YExd6D/LtCjH5eVIHdeDqltiq6F1V+N5ZfbwIq
8pzKXFChT1TqXcMxh7X6rVNFvKvK+bIbHEB24haXyzpzy4tB09k5uBbQQMkieknAnDd0CIBkGRl8
NQ0E6lZ0EQHdRJXo/sGplxsU2vOGw/jJqr0fJR1IrVqRhp6E9J4bp4vu44FmZRybzUD30tDF6HQz
Tju2G1M1ODSq3g686LMY86NLDzSpZmimK5pUe9R3zKzpl5wi+KhUA2XYTI2FaqoKkG/Ksgi4WHVd
aTpix1SdmElL5tOaZapHG1W3lhfORM1CBwdXEmtw2z65NHe+O61L2yzDDFozIwOO4opWsFQ9oVTd
4eS78aalYUQYuUYROVjYH3Vy5Ram5W6OZDe2+5uq5eLXvZFsoKX/QeP3PCTZu4wLextZxnsVZWKb
TEl3LCJzFWm+tY0Lb9i6E8m2S42jIONx3fVoBHEG2ZLYHwONbGVbB60Pgl3sSy57v+SDUPqfsyDY
J2u/W9WIzJQsytAQLWGVLmOeonJ5t5Q8fPYrLJJZvk1pSt0E+5BHMuGaQi5fEQCbo6FNlk2EXdxS
QvYRK1qM1QkT5HRtDdHedIqbZCqu3cznxki3vXmQchONp4D/E6z+XVWP3dqdPXb47pNHVHBWkJQ8
WmLeRAKuBlxEKOofbdE9QzLVcb2y7CxFFYStFzTrMugC4OfFtsyqk2nShWnyAffHIavjy05Wcm+Y
KObM+cbMMbv0+ACwovK0T9O1zM3liO3kJWnTK8etyJ/QR+/Avv/SDIi87VD3YiAnbBbbWpllCyZv
qrk4McCNxEZ66EV6afbppSGrl9yYahL9Wuy8RvTAUPKpb9prU2b2Dp9bsJlosNBg2KDniw6CQcwc
ROu7XWyzWiZJZlprs7wd3ehpiXh/8NDb1ZLSfXa8LpaUb3GXbyqRHaKl+agLyw7NhcFhHZg49/CP
IozOVgE/1vXQ4ZSNrHM30vZZaT/Tnbc2YE8Me1mtf8KSu7DT9DIlnHc15dLisWblJ9OXxbXuI1Xq
Ar/31kwrtVUmjFu4EC84WJA4WsXZ1OgPjQXTVNDjwcDeVRd+FNIGn5uk30WFeT8kLdoGDddA5R9T
BuuryJPnHPn05KXaMRnzh9Tpio3eTUd39ilYGaV1k+moCiknwXbMwtxGnL/oyWkpRg3XcDltsNt8
xkt0X1dQEGaDlE0rTardlIj3pkIhUxIXq/vjslHz2nVBt8T4QVv2nV9tvdGj0q+X82xZY6gNFMZZ
EN9NVhr2prYPADUQZTBs7ao5Aq9gC2Ak5JpS6dOCu0CD3dLZRnJ+ZhSqgr7e6nZKd5MJxdkfhytE
Mw+mM1wuXslLzTS0B3vbiDhEYHORVs1etBGxAjxE63FxSQiw9d3sGT8Wozo5MWf2FFhs+ZOwNpqP
TqSnbqrflikOPRjeq3Ym+MkyXkqWWFGGTGEaozDK9L3XMYKJmeoOPAQ655HFTeFBAN84WYHRZPbu
qz49Ldigs46DMrXcMhxyb8+He0KYk54Ma2xWUxtcN6jid6Y9PuY8t6TVUth7Iy7GwQQ+SrVG6OvA
MIBcc52Ac+7OJizTpGcKSfq5TlN67atEdM1zzF3TNs8pYekOU7Y1K8sHzCgvzBZgxXEurNqOR4PI
eMiLJK8vJLBbOKV3DYoI3t/3RtQkn/rle6ti2wOBqZLB7nKFwcphbV3fcOedRhX3PlakM6gA+A7u
rqUi4QPZv0dqo6x79buVIM4UQbuOVJB8N0QnoyJa3kYpsg1K4ubjifV4pCLo+ZTV68h34LHpfMpU
UD2cz21Jcv3s1AlLwO+WirQfybafVch9qonXjNR7taK2EgkTL8p21BEKXDLcGQ4NTD3UHj2Qd6i6
hKu4IDQYRb3H4nyZyZY12mtVD8ez/ARHWa7ZRl3DXciR+RCNaqVg+rvq09eKONTt4GUkNzDUajDP
ceG+ZYnjrCpyPfS6j84ko544zYnfOdlDsktS2yEcuU/8g95lQU1iNIEELtZ8nbxkxC7DEupEWSe/
CbD/rqNVpMy/r6NVxObqo0j/dK7DK3/W0jprJ5dlFMoROABKavuzljaQjpCEw1glgHUT/LOWtnCa
+4SI6T9XVT/HOu43LOjIJJkloPNQIJ+/MNaxvhB0f1Beot40dN+nMrUMlmOq1P5Fbdz2M8qyzNcI
l6ZMyMvDkEb0drmLKUQ5ZzNvJr8GL63AVMs0J4Dugs92RBk4KudtjgV3UV7cSrlyaR3KlamcurXy
7KaYd0dMvCVm3kqvT3NvHRbl8qXmbUL47qirKN0xAkvlCOaqu52+oMuYhV1KJhTwfIwt/RzoXDik
RDgrMnee9Mn7nGx32oqxupOmePAMaYRLthAfpXlLKIP62e6rfpMa1YbkmZHKucJNWWrbooa8YWjN
bsw0JhTkta/aXh6TxRvTDdcNtwUuN20TTfZrlQ/afGZD4w/bfDJGbsyy7ejsgQtXcBwMG0MWDJ+y
HINtZbB0HtpZhiZjAFxDVjgQQ8M6Rdz0AmhbwMksSz9f97p47zzvg0VJgPfcd1ZWd5UPD2YLxDua
SXJm+YP7ai7vvInIGUOarwLfIpcFJi4cYcOacPgLN2rbY60X3zGjk9BQ5AlccWceGG250jbPdRYD
WmdyvBnn7F4nVCXz2Om1U6arsddzYZePdBHldbVM5SVTtHmteUFYeME1SsFDkZdXrdHuJN7oPPCO
kxM9s48FnJRZ86F0xbYvbP1g9LBkEr5vbIATvm+X2lDPCQTm/Tz5cZcehxT/GiCSceUbkaa88PIa
Sfh9rvyWsvJSyiDvwv4yY3bKl5l9WTQhbGPXNEb/tGAj11voM7oL8JuQFWYKlX4XY/ckLhoTVGNd
1xhBNayqjNLOjvAOsBB22dDvE+UcHbCQdr68ngKACZM5M8Mb1rbkNz/isBfodm0pnkh8ueca342M
iGAHxasAv+qEbxW57WWDj7XBz0o48t5QBlehrK6uMr1Sre2mYcQGa2CIJVjj0lUWWX7lYtX34oP4
8tXQ8N60OXZCyhBn7+KxRTJEVJLzajYsBpUJt+vz04IrF9R9hZMao66lETPUj98LrQ1le9/0FMVB
HZxjHL4V64eiWo7wFR71QIwbgRe4xRMMgocVFKvctM1epbINax5bDmUktnAUJ8pabCiTMQLatyAy
uMXliK9+uRrxI9OWPZkMhcpW25T4lU3foVPQ4TEoJ3OcXI84m+uGBCKczrmyPOvmvK2VCTrNtKsI
V7SQxVWvbNL0mt8HZZxG3HEZKCs16q2LPOefUYmOymw9NvLg474euuKCf7ngkcSY7SmLdvbl1sZP
xqX55eFOMC+ZBEzELwKHN8nc9MrK8621ewztLy1e8DEYQoRNO2H5rx2Xo+yBRQFU31hGv+5wkzdx
9Twre7mpRrmj7V76OM99o4bEjVkRcYv1nOJOH9uGPB3s6qVvny386ww1zqYytM/LcHKUxX3C6x4V
LMeCptoTXLBL/exJmNklguMHr0Brkgv9tsM3b1b5KWHDk+n9Uybtu0YZ7CVOe1vyUdObE7QshupY
8eOZCHsyhva5WV9Q4d/ykBxLZd9P8PG3ESIqZezvoX1Js94syvI/4P0vYQBogXGhsTFa1aN2sKEE
6NACuqY+SOgB4+AQzJ5dksqy6/Ll3A0YFj1Znyy4A1PFI+vT4UuIBBFkgmzETFU7hw5iQWtXR/bT
B8NKHgeIBg5kA8DrOSvJaDs4WBphH2QwEAwFQ1igIkRmczlDSUDmzicMbkJSZhcpHIUJnkKgSGao
aFYGiti1gLlgD+m2gMEACOQihcnw94yPIsLRLWqF/682aYq35j39M2agevXv9YlhfzMsJYghkvW3
euJnfWKAE0RhQ8ekZneeTlXz+97J4W8oQkCPe67FiBDVa1v2XfI//21Z31hiMQKkQqHoAYfzVwoU
PFX/sndimcM37GJCYfNEeKz6+18KlGBytCrg8bvSMt/cOIPsSAebrYM7zPXr0Fg8TF3dNTAHZs3z
mKQtrJaisW7FwywywcrVHfSrojHtTUELOem0M/pwBkJAEkZv2EaD4H6ql96kKR7Q8a1qy/etiamU
UuxnnlEvGMPJx2t3XaXlyZ3fdUDpmE2JVaGBEVot8SLuZckdztZEmOs80+c7xgWkmZmCjO2qysHh
dXm7R7NPbpnTe4+FMSBF4bAeHitJMMfKcioaBJvRUL7W2rrAHlv5N1Y2VC+WrMWL5lTOHlMaqEBj
yCN2HEbsr3KfrhGtpt+D6VtkvPZTgoKD0oQOp8s1W+UeZ6onrzy3GG6ZgeJNJ4LKBtFRDPteixw2
RbXPzEtivGaqUi7cVr1L6oSfkkEioNbeaobPpGHpZLrPG2/5IU0N3lVsz22xnnUuQXPb4/Rgwm9b
PYAVf7C6ncPKSaP3hDz2AqzCMJCSoMqxhdEnBQnDSbS4IWfEMjDlHK1lCfZBjOoinKsm3nmsBM9t
M4hXKyjac+C1HkA812BN1NrJvVRpJhb2l5tS46d5U2jxoIdxq5dyHUdlXx8S0+jRFqSmeMny1ryf
gj7vKY16hKxjoaf5XreKzltpfhWJA/23mI7SS+3xwx39+COAHbUDQBIBGElKHPUBNvlWaxEYaPhL
Mz9tn4lar5rrmo0IV9Q/Yun/7qqUi+w/nFwwTv9sO6Fe9fuJheKeg4V1OF3LPxT3Pzsq65uDb5Jt
uaXbLNPRwf9+YiHGp8fB/EYeFpno6j/8/cRiU456nv9L6fjZvJt/5cSy/T+eWD5GOxSIgW36yPoR
/3+Bln85sSCykEwIqOnatABCbR2fvEcmJf2PRvThYGfTSlcSUy1CbCqM4DHqcPxHSojqON73TuZ3
npKo0hxu+g6TMTzv7wQKHlrUrLQTpA0qgSv9/CZSqtfMMl5HpYNtlSJW1vWhHlC5L+m11WkHCBSn
FgmtobS0vVLVDnACWVr6+wLB7TJqGw/1XDe65bpEkpspbS4Rcrem1b0ESrXLTOk8Z5qBOVS715Sy
N1IaX2bB25jYvlw856iARyUHFo64bZVAuKlbdLTOhVTSYSBKu1mJifXKvk6UvFhHZ7ygNx6K/sJv
o/cqGC9SYrRNJUy2lUQ5LiKGPYiWYxNHGyrmVsmZm7lUO3d/s7TNY4riOfaIHxorq2aanj9MqKJ7
JY8u2QZnmX+alXDa4HuIUFKnS/XWKmn1EGVpSPNKHJoSXhcosCMlxW58+TCjzW778VUqsXaGanvy
6133JePGJwib1Nj6KLzryLnOlOTbQfvdKxH4vASPwg22PepwtAM7XcnFW3TjhRKQDyjJfRTlo5KW
j2jM08RBbK5k53WQPdZKiJ5l3bODMh39Q7PqlFYdzToQu/gSXCrh33ayKdC1M2sGV4rSvY2CZtWi
fTfRwOtKDO97XXBkbFmFnPPvRezdxdG8Q444sbcA8liaZEda2sdkVxeLW2xd0T3xZ/uipI+xBx8X
nJliXRPdTdGK/DKY5D32OCNjHgeExeXztEF9mGy8vv2URr0XXrNzBxY8Xd/E0B+yk9HXYVX27DMy
BocAve+ModkJJ3uxZ2MXxBzBle9ctArV2JXkTBWFBMKb0ERglrM7WP9M0sI58fADspBaZ0tzqgLg
akIS2GLO1s6My4vMselKqTgzZpR2Nh5FQiZP0sxXTcDP3o4uOlhHHO7ge370cdk8JUQvcGcF0l+5
KOluTaUyjFd+I7WzXgX1LYosme+MKd3Cmt1mGpOz3ow+oXF+RE6go9KEJaIz2/OK6bF1m+9d1iMH
LcuzF0OJSbKzUeHPgAy0Zp+1qSYuT8sbEGnoJG4Te0Tgm803V4W156kQbAEKbrLDBCgkG3BvWQuw
dusqlZuunBiJzvgwzU09Ta9+BNAomB/4RRM+JLTDnGqXRc3IL9MORUAeh3JsCDhaIGgFacGZj8hy
8rlY7eVoVd2TUTebxCHZzCSfapBAUKyU3LK0ZkCKdjWYvN2IxYTFCb+Qx05xAqdeIYTWA31JqrFU
zAqPCMl2k6TBsxSEa7VNcjlQmm2WOg22k2TGip5yH9T6FSLcH+1o8yEgKnPyEN3Zwcaq5hP6j8PY
sHKTJnJKVGr8bsnM1TDyts0P8F/XYvI3rbDv9TRGdj83l0vmuahzitDOMFPoPvpTlKhbRAF3Th99
kPjJ0znIQ0f1sG6J5cSpy1alpliy5E2kL8NFAn5ZpBCb/BS1rd2fRq+4mODyrCR7Ezv2XzDx4lby
98w0Vs2s7wKvv0nd4Uk3q0NkE+k1YOrLRM75NxUYlN3y1urBBqdLAzwtZvcn9ohpsRUMV5G73OPd
XdVmd47M/gh/dcWkAB10MG+Wxdy6bhNaYO6QBw8bIM0Lp7C1DZzuQi+WrQ8+ZR3MGrsg/Tu5NmTF
mv2rlTI5GsmqPpDhfGMgPari+Mw+5jLw54GwVJZs7jIedTdDSUF/SiqtCKWWBgcrdnqEtdMNtl2A
yKzEAv8Tuea2IDKtdbuwbXxtm6aUnKPWXc9dddN5/sOUEs0rHadfT9IJwkmY+XOG3p3g5uFTtP0F
pCK2BsVBdOVlEjCP6Jv0tl/MjZk2n05MwGhvVFfJBMNeLA+ZYZLjOGSPnMBhWzjnRouwOenBi+Y2
T1M9XYwyqdQwjsl65a87I7kwgTYlkzJBxxd213GM2/MhqgOcNUYEXIdtd5s9olUdsw0J3MZWW7px
7QPRyfX0YDrKszTKZTOVybtNiNdmHtgntY3xFizLtQHHN6RciDcxuXBTs+C+tepPj+aYQpgwiBTv
Sj9PxSYp06dSmDdoCG7tjKHeUNpQMtofDh1JR84r3KXr1p0OC7u5dUNKLk7n4mGatcdqKu/zlJ3V
WFibCgPqyp/H6yFjAEPq591SYEbNe9GfG9Y/oL5ItrbVNMiNBgzs0kBid/FLPUWrP8dl8Su2xvy/
XkE4LNDXUVAgk0Bs+MeGil7BsGfq22vjTq6ene1wU6/JoF0Hb/e37QlKUFiuu3166ewI0d6X2+To
xHtxSnZf7+PvAteiF/4PBS5rg9Nb9/FnalBe+EuNq/N7YMbp2T6lLH/1s8Y1v+FgoRv2Aosi+Neu
3PtG520SjOu4uoLt/9KVe9+wp4IVcQxWEK5u/KWunHHBLxwXZTdVwhvfxDTPAwQO9l8eoX7sa+ny
IOvlTRPbIfGmm19+KH/ylPJOf/kKqoZmqgB+1+E7NAMgFH/8CujXM6v3SBpvbXFMvUdNvw7A2eFS
j25YvLbGb2Kwfwvd/cpG+I9fUb2jX6p2k6luSu/dw4zqSW2cYxQGc1uaEgVc2RItXPrHoaNodTMn
WrUu1ROGkjoikzbsZOehSC3c18kMzINrMaXDLk5GZVtaK8tPLp0ST41vZuuq0d8HLfsMJu0ZyOVN
SVgC4kn2riImWLogwHVlmQkz7pzAAkk2OqxOF697nm5pD9B+VGm5iziW1umUsq1tEMMXmBOQiKZ3
2ghqvE9v/WG4QKFFnZ8Ol1od8VsS6UpGlAQILzb2zCadvOQI5yu3r7UvS+NmSBjNEXNa6GwfMhFf
lMFXufjQ4HYAgvA6LNbN5CX7AbsgEqt2l3aYRNj1J6kzrRK3HGH0NS1m4/lEMOZy53E2AnFwmBPc
lRgH9m5d0fEU9b4Gd9udl8rmD3rZTOV1HtuXHSP0K8xCXN1ttwAQtGpmi/6l6+IQsOUly4LDlI2n
JogAcGZX8+I+IfzE50EPDpDP2gKe+GE7+jvSGiccHfs0VfYxgn8/ZNVlF43cSfMB+P+NvtTrIqoZ
T8yX6Hsve78pN90idaAJ40U76E81PmfbZiEki+WBPIl4hQ4gu0r74qbIOjye41W2ZEe9zFBTVC4S
RSgm1CY+ts8BxaIN64Yy96HuZtYF+P23pqz6Q9+PHVJ+E3tYWs+XOdT3Lb3NRS7fA228thP/tu0b
Y2UkuK+ThPw8sIdRnt70hXY3DgVhyfxagMCHfooqR3bvXkIdbLjibIJmDHrZk11ngFRF5yPmc9cj
TWgr5EbUY2MzbCmON5Q6xAajqilLriD7RkY1wQ8Td3iXZ8PtNCe3bmQcmrHf+JX/zJ23njynAeOo
sQjkei/Ym0ngiBby52Vhew1cDADk8KFzVRcAT2vbgD3iBUByAUpb6C1g6nNrxzdJOpxsR+DSlLtJ
d8KcBFVkdhdtW+5RG0DQ7xS/9Aqn+8Zkls1BcZ7ZJLEqA+Vh2dEWQfOj3bSAKeF91eo+Lpx83mek
fhyaHLlvGvdQK7Rj1i73zIiQjufdVdqUd2LAcSWgGdMI0w375lvQizfh+aeyzsVqEjjJmf0jG2xH
pMHR4O//vvS+5tH2/+OBKLq3/1o3/cINV3QsbQ7v//Pfv7kn1Ct/3nrGN4cRn8MAB3yf/4ddOUMf
g9Uws2Bkn1+Sz98nO943jqWv2CRH3Xkqd+v3yY7L0EdHlOoZOJegAf6lW48YnT/cSvxPUIpA9bou
0Cw0cP+KWQgijcxj3we2OiETwUbdbBoTVXw+FU8p0snQFHx0W4IomQF76Euc7lA7xudQkmFRSjke
IWJaWEDJrO/0fh+XcQitx0Huzz1RFsQmK+eQ8MT3MWpYMSuu7FCwm8kVa9ZT1FmtmoObpJYPjqLS
1qM1rxxAtdApH+K4K9d6+gRU9V7KtLj21Ma1VLvXXm1h9clIj5LFbAREJsyC4OwTKYE01PxgJd5v
mbWM90Ud7KlKLkQ1zVt9KkKtnW5rA5VKSX+bazVTG8Spdr1z9FasBwePvNfcJS0zBOYzp9bxgK92
1i4DXLiO4vbHjPSFSzQeQm+ZGYWl0S5O6zsk5cgabdCvNnOMpkkPSJReDSPxOIpGovGU9W6B/A60
kxMCL2eZGpsp65NN3iizxXIbxca8dzSDH02fDhd5ypZYOgxLqvQY+JnaFjN577R3IfKAiVmNL7BM
d+Mypus68hoQpyRyww+EL7FY2z5n4B4XgF865eMQFaHQ1q2oPPwM76Zffnr8d/3MjyyFBbNOjPYt
oWPENcEW2/Y6lrCWubIqYazguq1YCGDoyG1Uv3O798vgdh5EeVNL41RPYgr12qhARpcoWXmGd4tp
3ttkzgPICDa+5jyAaAuO9SD25AOliIyjK10d5MAPtoBxL9qyuxkjbq0cb9iIFJIR98Zw0qfAbu1d
QSWyjlqZbIK83i6pd5rr+dks5dYuhld7nKHjWsPtAF0IWd/4wVeeMEHmH4NXG9cMaa1Vbcw3tOOY
T7LkFLAruBys5jspAQCyGsM8pKrgSTTpMdFg/h/ORVuH+rJ1VIHUiKG6IiHDO1aqfJq+Kinvq6qy
qhppn+u/c7eMx8GxwLN626aa9mrePjsW9peoeQls2lh7Lqh/Kr4EZtGqx5g/knzSO/yI/TjaaTJZ
HqyqNFa2OY80jt6dX7sXnTF/5ElNV5g5t3kEnsldhnCRw5UJWd+ggQzJM15UDv27WKrg0JXe++Sh
FQSJC2yRMA7W3+25q0mjiZoTojt/4zVjdSw98pCYikLRsEP0lzZPuI+iZJp5xQS4A3/dvBVG9JlX
0U0Oqnhjy06/HpIe0kGPvxl120VtFnq46G69/1/2zmu3jSZd17cy2OdtdA4HewGLUYlUtmWfNGhZ
7pxzX/1+SpRsWaI940UBixv4OUfz226Sxar60hu8ZpxJQN1w3jnpQpV5iat+DiF+CtBpDcRckldg
9YwHWXajm0zW86O4tekOKLEPxe+f6LSNTn9Gcvmbqt7siEwvUVwK4ceBCgMrAn8t8yU7TzAiAD5B
v0MZ1FYJP8+MCOUDDDyCkghPFGaiVHuKTJAlwE7QCEQC6GlS8RcwLuNR1vIXGBeKlHwIIqSBARzV
2avqRbw52PMYkR4rBGcKjFgB1QmACsGSQjoHcM8lC/IzilVUvgZUMgbIsPaogI/p7YcMvKhjODek
erQ5lQIxHQEqrbCUyGztyI6bhQnqFF7uUQcKNUE8B1Qk1lDgUysDKLcArGq9P69AsPpWuEIX+YHm
/LwD4QrwE1UCMK9Fr98zbV56EA5gSmXRVAqS5igEKQu8nK4wBieqATYUJRCNXqcCttZUs1uLkq8T
oNuh1IOlP6qbGDyuKst3vtwaC8t1m2kuQLulEntTx6BJqJvVidHXWB+B8a0F1lcL55EfXrstIGBg
Jt28RdkrBcQ1qUAKd2Yi42IAeFgTMOJRAIppKQEITaxzR4u/wb3PlwNNpUngIT4kDe4NhmMc86af
yQKsTMt8FQn4cuCpEdT1PJ76OaJzVs/QwgLvDLP+xBcAaA8kNF4h0kkCNhqV5ktfgKVT2zlhKAx8
2qhXDnjqAly1WveX1HnSvBGQ6yHpljIYbEWAsREhvez9NJkw9PocgtfGZo57SUC4IVsnmKNoNyPo
bpD1s07AvUGoAAICAa6DvwlBhAv3kqNw7MGoCLi4j2AZKbqGm4z/yQ/5/J4Al48CZm6iTt2YGcJH
AoKOI99DBiZdqmKE2pgdBFWAEjaQdSTcJ4HcV7gbA2fPUv8OXPkVym8wJWyg9qOGWLUAwRcCDl8P
DvA0AZGPaRnPFAGbT7LmPMvsTwZ4eksA6yMBsZfB2itg7umSnZUBiuMg8e2pIYD5ugolwxFgfaiK
9SQEv+9q2RpzM9T7DYuUpUonHlh/Ocw+F2ERLIoY0Bp2IbNeT6mL+KBdS+agQBUoFPlChTqQG11y
FCnuaQmpAB3r20Zql1mVgmbJFkAP8VNJAqijVeug9d+BPhAsBVtu7+iGP1Stiqlav+yCHFc9wWxI
zQydaL4VlIdMcB8ip722IUPUuDbg5tmuXDq4g+wce9AmFOgTKjSK2ECWvGGa0EKwUEXq2KA7TEU3
ztSxxGeE/IYNGrhTUwJmXVAKZ4K1kSZGPmVImkw7nWIskdvvftRHsz7RrLkqKiINCkgPeLiDEmKF
fXOcSUU4dQVfREmNY18wSMZHMgkjl2Bip06/lCSQ6YZgnSD20C0cwUQpwT96gpuSCZZK0uoM4Gp9
0UBgybT2DljFPdDKcJ4JjoundRdDE9IDoLc+HWp6z1xHkGKMJkV8HT30+pS7RwiJ5Fgw9EWBzF1S
HxspReRCa3LTuEU4ybaXPkzfZYM7IGepSGH2W/Rv4Roh5zW3U+wLJ0WravYRw9sBnxQNpugaI5Ch
uXbkRKmvO6eUtNOmbzB1R9/Sv0PDRG3Pozo/yjySvzykes/0SKcvjnp+gW4Byo5XFXhRBib9ia6n
zaKUyn5pS+apYfWAR21dR+XAvKf3X9EMMAFUhfpdJKGJ4gtpR0UezRMtYzNHKWB+/jp+ukb2JXf1
DQhOOsk2XAttxHHN8Vvg5RlNhLRTUSlBR6OsYW0OUb8aMEzrAwdr51xa6Wl5KbnNaWJnX9qgAw2n
kTzjwlcpAF283MAWSOtP/AEObsc8xco3AYYJpsD41iqyBpqpkM3V3bWshmu3wq0gHD7Hvvp9VGSe
4hnfozb5CF5iJo0n6tCHM90okdQoryJkXTCAkyd9j5vFaexbKzmK5ZnTZ5vOG499sGV4XmB8XYD+
QtErWZtWNM4ggVKJSNKlSsScdbgO0YRpVqM80LHq3SmrkB9ZKaL0VSbXS01vudshO1sMo/FBGDhL
rnRTR7PR8D6pJbhYWw/dmS9RU9mR0/HmJcKjkXOEaKgyHaGrz7QOL8vOps2U9HmHR113hsasOrFt
/GY8xToPunTVxBZkb+a/DqZXVVKRm9Ub0+mGOTom1wOVDxkk1ZkLQH8K/PDWbdBkabr0E/K8J6GE
Y6LVjHdN4fjwnE2dPcCgHUyTNC2z+qFynFsu6IWcx2dR4gsDU+0Il+vbogWjGTCzQlHrmHruorXz
K8fIvgYEOpww5bUu16do+rqMkXV36Y5KOTXkErclCI5D3XkTcN3hxI+iY8cY7EnrgSuw1WJZGUE3
DfTqPAqaCzKRRarWH9tEOcojZrZ6o7IBG72fR3LSQg0QzL8IQwc0S/wp3MRsZkbtEhsKZWnSkTyu
WdBp5cfncl6FE4bNJzhqUoKaDECq/jYG9jofMoIgV9ZCCiCWSJ2CX4ZjTgfBwxFKsqeeosJwZ7Av
VbkgFcoJUxPkNlrULSaDVrg4M2nHuh5c+E1I2xdjVimlp8YlxwVndEdjonIkDPtCLdsRNwSNwXTW
36eZ9wmZeYjY1v2oa/e9KS/yCkmeyLuDwmzOaqQF3SS/kzP7SNPL646mmxbiJqkO0VSOmTaV3UaM
gBtLfXCi8QStv8sRI9KJU8vXqS4uccnA9Ah2zD9p9zbtJkv+wyQkize7wIk6/+plQ8jBBIlZgMxw
81VDCNUiGzVnlNLJeJlBPDeEbEBADlYG3PCyZinyizEIUB/aSDJynDq0C0Ff/ou0G+ns1w0hC1UM
oI4y8CE0CR91OV8MDXSolSXnaDi3a6+8sEJyHTgHKDPHunoydFH0eVBw6bTrVl5RcrsT4G4+RXo7
frScrr725SxejiMOYyb61XNLqst5GsA8spmixzHYnVbQ5Q1BnNf6mn/fMi2aQfEHEZBRMUNKPelV
iA9V7ddH2I9E9wEY3mWYoqiH8S1ARYQ4viS+753QgsfoTarDGeUnTAAaWSTUw0dHxZMr1jaDm1gn
jZADqDOpO02FRECZdf20F7IBfSyfM5PJSJygszlmgdoSKgM0OoTkkdCilUOhS2ujUJsPSqdf1qjW
FuPokWDkn30haAu0A5x4fhLCDsNVBtFbdXS6aQ135sJTvDsZZdyg0Ur4eOmlIURz0eSUlrUQ0h2F
pK4vxHVjLT5VhNwu8weEd31fX0Zxqs9bIctrKq09IWYj1Zugju1m7eVYMjDOY3ACSE6OaPUYGPbY
8FQ8Zx1qJPTtwOpIQhIYUWINIUJkgitkwWaDkA4u0BBu1PBLkSMqnMR1KqYk4VxBKdT3irEWxsr+
nKuunMVCUtRFWzTUpckgxEZ7VEeTR/nRESFSrAnCFeyzBylCpLSAwEm7itZCR9HFxOXa1KzLxAIi
HfX9UkXrVA2RbMCcDAFUGo3nqGxeZCijyl5lkTIHxzmaqb0QT7VQUXWFnKopaHCxkFitKpJAK01O
K9RXDSHDWpndNdRi4joRbRoJsVbkLc/BrxylqLi2mnEW9s4qR93VFzKvoxB8NV3zYnDDxYgSbDIG
9cREG9bRhYOsMawMUrAc9VhbM7CUQk/WdIH4jCjMJmr5VROSsw7as5hfLzO0aAE74S/hol6d5QjV
wikfknUR0QObqgIhpwusnPIIm4P6eeZASeZUoOx1poCKwjN2INTmDmaWFupUZx7WScf/XMbby5i+
xB8u43qDLni8aaodfRD+5Y8LWf5Ac97CjgZL+C3u+8dcGlFG0ZjXn3DktCB+XsiyBQMUq1VqZ4bT
/NFzh565tEbrwgHMhY2LSmPlLy5kTczaX0xxHzv0QNZpwzA85yaU+egvp7iSLWlR2cfZeUPpOq6A
cxvhWtHlUJ3XICsvgDy16MPGxtqAUgpX8l73UBEq1eQGdwGOo5KcFWr5mbncSVylV0GC4K+kZhMt
dFe2YawAdKA2bHVLpMiweaqiM1/uPmGm/OAEFar5rVqhjGhml7hxLpSEua4PZbVx/Wimog0BXT5c
1QyYe1pGaOK0qfJVlRg9tZ0Xo+gGwPAYsGoZnKiRWaNtiuDdOJGRGGJ8m2uoh7kSnZ6J2ebHFpJi
y8JyTkwc3vQbza1pQ7tJFzYzx/F8/awMg+pz2Lk0GVotURctBucjWD18nlH6g+3nGBXZcGkgoFPZ
JY1mdAXGeVF6cjFPDNOBr9v1XxtTiOrF6ScrBw2E6NLSbqHs5YG5yd3MnVld0V+GdtxRomUrwk8x
VatanwBJnBeji0giPaDMheEmux+lcjyuLemqJdlO2w6qSjprpfqs74xzpzXRMsrNaRmrdDOCDdze
07ih25rVzaqxAGxZEhZFAhxYOspV20jHpgIZyC3Wtpd/xwtgkkjdEawhYJDJkecWZ56TrhO1XzcZ
xqhDdeX48REGg7fU3yDirCNX8c5NCGyTIs6v43zE4DCYxbm87IzqqqypHfruODT1TwkwNNmxN45d
ncQYosHcxVordL6ncKj02FxrmKRRTjMRH6dKVmFeV104Uf25rEYKA3uWw+RNLX+NDue5jWgTA4x1
CqKh6lUcDLJVi5sYqgBrfkvqT+pr31+HLiw8zTkdNWMBFvgEgO2SWfMX1QgXdlCvcq3+6mV2OBc/
vWfRvyuR6E6UJdIUZ0pb1ZPGkdeN6s+GIlyXuHBC+5pC3781fO04Rkp0EuMqjxHAcYVssx3YaEIU
D0wQqDXiTzTwbjPZh8YkLdzcONN0e6E2CZ0U1PHNQTnr9P5ry4dAyV+ZRaly5rZoK1gKih/1mWeB
yAoAdvX+cVYxxLKH8qG01KvW6a/KAVMF12uNSwbLy8Ds/LXp6qvBUDGlieXwGGhegV6XmoGyJ0Iz
5eqLc9k0cDtkSzVCvZLhxRS/XiJQ5XwbvH4t9wntdg1go3fZF7U56xEtxVXXmmlF8aUOB7afZkL0
dpeAjIeFpLlf6KOsOqSYF3bS3ET0NjVJA4yr19VczcYA83oMeLQEBrfkU4LnrZTOVV9ZYZlwpWN9
PgWZQNep5xdvQ+cizKVlpUOHpX5C5iSSIHNgqgZmcVWHzRKlzqkBYlOms4UhH62GQCWBQu3zAmt5
8B96dapqBEF/qMAEQMRyozOtkJYw9ueJiQu9irdGVyT3uZ7wY4wSQ/IK+p87sFi1eWnE9nFWh9qs
zEKAIZGLxeXYoyqOQ2MmMxNSfbwmwiA/S4KY5hqoukTN7mpLBxKiJu1USsZ1o2irPgq+oaMYAqJV
j9w8Rc1EqKghMnNlpurH2jFPJIBhttTEi3hIc1p/3cpwlGHS6twAiRTj75CnzUwt3GZCJ6xYhM1w
ljFKnJhacB5FxW1rNubU9/sbz0Rf3UcyJkWXsbWjc7TnlSlTTsQeyhBt+iSdIuLmAASVujPUYeNT
3wDq+E/sf4z9BgH397H/pok35cPbuC/+1XPchwrm2BDONQodBeQQ1dZz3FfQVWaIYTMeECR2MX5/
jvvmBzgVVEc4HDyPRp7jvrBMp0YDq8bOUkxd+Zu4D7XiVdznjR3COJ9B0SnT5FegRm56uSCHbdZj
nCGrETRfyoE2J5h6i+gZz4YyFh1lCJyZuwpKuOmG0qFRmrYXSZUdW4z2J5WB46mwQaik4JTuwwrv
8W4CJP4ac5VvLV24qZS1FmAewCFup+IIXUA1k01vmlQCEyB/QuXji1rpd06BaK/tOyj4CFiwI40L
3C0ljBN8yKcl2hoe9pYBPpyGnX7Jh+y29QMmxnWFLYBpfiyL+jgFVFA70icMA0590zoHRLNqI/+s
zoIvVWYncJKsC1qb9zHI53nCF2PYHJhLVcVsWsk+J4M8QLfCqjTDsmBaxN0RCka3g5qXc6/uFroO
0kYNMRvBVgXXWcn+hhGvMcN14Kyq4xusY6OpDWfZiOyrLHC+FZVzAdILIThmRzhDhPXc7bq1nbcU
bum9W2ef3UI9B9F8D9MGfE1UevMm7dAdsZILL0ehD/1r7KC/xCoaiHls57POhFzQ5dl9pzg0juDq
JgMwqpw7cDZAkF2Qr5VTR7HOMNo5KXT3LPUoNNBWWQzgzeSyO/Ec58hTjSuoud8DPXywkvJGCzyG
AONd4o3JDGmlNUJMU0cujUnXwTxQZTRoMXg10dyuVr7TfycUZjNSq2Umu/K0KSG4JLL6SfeMK71G
zsAOohvdU783qtkCvxf/3GiaBXy3uwT0epWBXSbxJUjjEIHkV4hsWPwZWF+0UPOGsbOBUSeQkCku
vcZEpjzEJWMhWzmmPba8LGofMHSUA6LO+dXQsuymdBxmjc48pcBswERKYelW+WngJsXJmETkntz5
gn9yZcVAdVMShELHXn10bZ4UCDeEniH5WIUAjNlxhtVJU3tkEw8Vv2Gi5t68K8frzEPuukltyDzt
wpWb69HWToKOEZelog9WFS4A6RgsRNtE9zAT7mw0MSaWmX+VlQyp3sydll3fTzo5AN9XgjeR/CM5
lcKZZIEbk+VsaYKoV+SgmSILjYGB32F129oPSVic0ZNtJ7QT83np1Memhyuv2gB18ZL+Nitwy1BL
mrG4eREz6q8Vkmi4AigQAsZ8vEggSJzqaYTAEA0h7zhWHV+bRVH3CUPjsp2XUuUHH1kGtz5Xa+Fc
bAaGtjDdRE5vrCZGvkKv81GD6h9X/hTCpnWB3EtAwVsE/oVW9N7nADZNFbOFJrqvu+scM1ucsYX8
DzQu4p9voSfkF7KEjKjRX8qxhFB7EaASaVFPT3BWBH9uo1xw3FiyC1Qx6GuYOrIWY84xaFOliy/x
3+yLJaZS6l3UIeO1itMcKUk0BsC7mNa97CEkQFExlAipA/lwRmSAdKPA11u1vBu5tuLqs4o/MG1w
bSTZK+TEdL9ERuDrKxmFAQlFub7J/wmXW0ia8Udy9UcQbE25Ay8g/tmPeGl/MDUMLrENUJRfFRQf
46UDDtuAcr2Fdj/HS/0DChp4yui680hFJMo+x0vtg6roqknPUsC4RbvzL+rkNzg24YMArgysOAa5
0BV/rZJ7GbpsWaZESxEY6Kt4FWLShJQXacTFW6oBCPNXYRk9GdB3uo77kYyajf4qLCvA1goz1PO1
3BjOLU46KPYlKOiPR1TwBliwOm304wrJp2u0E5g+m+hLhLblfc6z0D5B+t45VayEsTNVan/hD9qV
NmQtk4nBQ5W9jcJK+9JykdvgdIq2BXkDp6xFVABOlBSfdwinKPMgzzN1nnVxA3pK8uBtY2yTolU1
OHPBzpRnVXpvxHq3tvQ8PtcbZjRTJYcrs8jcXkOTFsGruEKuBl2uTDuXW8WIzto4PC/rqKMux7zP
dy7wUHwwqvxbWngLt5JvrLY4SjttaUhmtlSZYIPdQ1ofBKuTMEdNjt1hKGZaRIuhKpVZPBTffTTT
x1xfK2r+vdHaa4SKk3mnl+FnKwIn5nhRs5KsvFwXlWGexAHNOicB4jaqFamzpH3XwwrAlOvDeK+L
fJ60UNiDWDJQBLdXzNjXVUq1gPgWMljBqC7r1LodFOkuVqGfZqEPiK+uPdWCJwjh2atc9GxsGZcI
XTyiVuFdmeVtqdcQ5E079a8qMF7zhm7c3Onl/k6HC8oqqlgKVlFTznSpZAIOVK8wa4DikqJsDVR+
D9x/w0VAWBTkDXKQZJoiO/11LxcD9j8e4P01IikbBvHKNcDzCUAISCwp5f0Eev88WVpzOusT40Rf
aHPqmWn0b/b6o/71TwQO8FO0lUhpkXoSyS42wb9+DqMHLe1VfrZ2Ve8Em4R+GnmFCwFJpyduRc68
aF0BUDcJaOjfrDyrdE8UfiMzKgBrWMPacenK2+r4pe4zZ1GpGJPXdb5w7fGLZSB9FLq4HlDMfaJV
gVVAWSCaW1HpIQvHnNBneGz4/RzczrJTmAC6aLzotkub1jkaNYZrqrrUdUOZFMiCkDzCSk3SI+Rp
ZhnzsEkm5/Ou885U0H5MqIFaooxMfzisZhzidYdU3bLwBO9P8269Ljti8rZqehs3IDtfyhEbzXIK
Rv9yeP3na+TXS+QR2EthAbJJd+g5as6rS8QZ1c7JE7dcy20SLrkIYr68nIId8udGFmAMUXhc1z8K
oB031yNH+5dfEwb3y/d89WtKfWuVbeRV68LTPhsuk2xYpNCOrSM9aUCL04LwzBLVPYDzRkyfxdDT
ASN4lMSBbp5lgX0nB1WBIpT0nVi9yItipWbmpeyO94ZXfEm6oJgVCFJs2V3/sKqQEfn5C842wMm3
QPI12vr/9/98br7uCsi/ThJlFNZIpik5FU2g9J4LWBUZNuITig4oB4gO9s8C1uFPsMulhP3R7n4O
yPYHrHTBBPJHQj3l7+T1Nfl1Act7MKo0RbksZOJBqv/SuI7rspb7rJfP6zC7AzuFU0ykSaeq1OQT
KvOccRhnDrSxs+4jt1pkgKGndaWflJkBfikFVoJ/pHFWoiELIiwS6lbmsu2a69ju81U5SrSuZDQT
7XsFegpE4I7ZXeMi/dQdO669CKxcnkGdWDYVfI7UETKwnX7bpeWRjhnZDbcscup5fo8+xmnW5Lel
gkQ43TZCrVfcx4MTzbJKR8O06476vO/xkMv89FLW7KUS6vqFpJmnLmired3J7jTpJBfka4nGZlww
YKo3VuPdu4ndLZBsR8tjyItjYEfJBNm2qxq1sAsH1DFayHSBYo1KzkXJaeYGpo4BGuit1B2QnNVL
CgntWxWYl75BV7jGMYcu3F2gajd15uQzKVQfctTE5+7o3ZZUGgGDxAb41AQ73yPIpd8o9tNJ6PtH
kQM+UA5Xlal+TlLvNBydGwU0+MQYEQcoVfkmt0IVNWD9pPZxncOgI50yjNsMTYX8vFXd2XgBQb6B
9VlQzHW6fGHHujLz3eAycKChSEkHAnoY5HJKB+27XOLVa4oOcHDaDpl3rIXVFfAvpDoNuZ2MZVJN
8YSfhCYKrVYez6wRMQnITxDRU5S3S6AKcRUBNUdULEgr+9xR82EZQzybtGZ4DPPKWXlV+aAWePo5
o+VdSg1UpTEw7h1GgutiUL/HzOkQjTQZUPqh6qxxCcATJMW+wI0Mb1YbSbRIKVBOvCg795OSgiy2
zzspAwRqOlyLQ/YdHJ8GBIk+RKmu8yyH4UNPc1IHxBmlyaDvGtIy7FtCkNJ8MXP/YxRFDfwRJIZV
PyU/8Vk3pHSQqEWkGeWEj1aAhoWbfU1AfdOe1E/0VLpU7Py7jpt446N/DPVqmpKdTOW6RB4oLo5z
Mznpa2Oue9r5oETnVOv91BGEMTkLP8mde2skyIchloknuWTdlrVn8LHVMzcnn5LsppkgBYuMmyxf
JUN9ImM/W0ThVRBg6NDEnzu5/MpkPoP5BIx2qNq1XUYNXgukIZmcrgybxTV06QSVaX1pygT0BuuD
GcoMZ4D/74n12qyqh0+5pjaTVslBrFCNZjUePUPfHkeYDtGHl9dd3H31Weu5qeU455lBQVsqv9PS
fOVApzbtbBH6GvqtuETUcrewShpTUtwV0Lbwl4zC5rQfogJZ7Jjh1WB8Ex6GXQESOLHDs8It1WmQ
J4yESRFCv/pih8Upche3SjR+VKTqks8HmUWHqtE5q7JP4xkfeOaNbYfzQrSyC+p/LCiuKkf7MtRO
fu7pfgw/UepPpGiQjrME/e60Dc7aCN5HIz34eXRlm6kxzbFQwOxIc6tj1+IpY+kbR4mlz0u3aBB2
l2KEo9XLUFbTia3pgMmUihF+ZkWIKbKJB1QEMe200CoXOgBdFs9cP0Yq12MkBUB4gpvWPSjn8P+b
2vcpFRAhcP5IpbpsHsrh6qGiX/HDwE786UWGN9RN9j/7S8/F5e4HPcXemyEn9m6+QSVCyrMug/ta
tIxfEbwU7VXkfvxgj5/6j8+JNxDFmm+8g2Z80MDqCNl/+fFFjo9plvf0xxQNjvC6QQVMJXckz3ux
Rr9bhT9/we1y/vnv/P7Dv1wDoDlU1z9yzx/r+W++P1/w59eH4MZXNx0FAVnx2vH1gWlSywPcfnwd
wiLs2Aky/+2vV4J/82IpmDUo6uNW2H5T0rhfdgK5HNpO5E9CR+5/fyfsWAT1dXPp74+DzX4QkxOq
zccXm/6XReA4qNDzSU23W+9/+Ti8WQSdT733ThDahDpsGxL0nYuAShjSBEBLtpvu0NaAJsFrm5b/
yUZACZpqgcr48fX6NLARaEpYbJbtpjvARdj/NLDZsZUBqC6WlJe4MF4GBzaCjJYTECMaBwd5JSjb
Lbrtef2nEUJ8zZ8hAqIzAFkVoc7tTuB8/bIIio1suGPiosseOchFEOS4PYOD+I6mSgOdifPOnSB/
oP5nr+jbZsIBHodt1NpnJ9hCHJFuu83J+mULqDKXgRhJyNs04lADpJjd770RRDqI4Aem4OL1+l7k
SqBERD1SOdjT8Lrd9dfBQVc+4CLMLy5WQrxeZwmqzsWJDbapHmqEFE2w/XaC8CQjOsKH3d4I4pJ5
fShMIQpK2+9Q78XtB9vvSkBDyTTUp0xJJF+vF4GDQhdTyEbxOtSbQZjN7bcfNOoHOr2kjfp2Q+zY
D/whLufohhzyUghVtz2XgiqCMbBOpfSbpSCB5mRApTrU+0Ggu/dcBBBqoM8MhuHbS/L10RAZtI2q
jK0cavL4VOPtcz9wKIQwHJJQry8G4iTDBSyED3ULKHsXUYQIMRHC0/jNt9c/gDcA2cgxeHwdaIRQ
9k8aVfw50aMAibn7LlAM7k2DY0JmecjXorJ/hDA/0EXkXtRp3D396r8ES24E2C8O1+ahZgxPV9V+
NwKZITxJioXHlyg2X9XUgHcVFEe2cejwKqmnEm+fRRBtNpIiAbl6fHHMXi8C0CkShYMtJ5+26D6L
oH9Aewoi7fNxeF1K0VjAOYySU7BqeR1q7vhU6e2zFHiymSqh0HpqNL3ZDzJCQJSVdOEPNVJsP9g+
iwAPQFgv4ECzvR1f7wdKa9gBlFOi6CY5O7ybQd07ZdAsmI7wx8mMH/f8roGMY6IQCCP8OYYc5lLs
nzk4HxTRcrSg2T++3hwKgKtgt2BqHmq4fGp/7HcoNBnFyh8TmTeHgjaEDVRIsbZl56FekgIGt19B
RddJdx5pOOZ2579JqrHDBK+JUdH2vQ7wfti//2h+gCL9CNXeHoo3XQYQZ4aJcMXBDqeeBun7HArm
MkhiIDH/FC53LIKsMJQB1XmgkeINbe6vm7D4uGpYlhEmfj+6x24BtrpxsMdhG8f32Qka1SWJNEZy
u3MG4TOHpCGA24O9GPdPnPCfAlPMMjzthF3HQVAh4eBuXwd6KN64Iv9PDgVWXALH8ZsSGxAHrsgy
TZlDvRmE/uZ+gZJOtIOABk35p84j6dGv1aX8gbEEhFahMn2Q2aMgAe+5CBqsYhnHtidc19tE2gL5
JRDW1qGWVIJvst8iiAYkLSdqqqeU6c1OUNkJwrjDPNTrUdu2h/eJEWh2oQJD9fxUMb1ZBJFYiv8B
/hKvg12K/TuQtJ3Bq0AueOo7vY4UhEuVDUE0OdSLYf8MmoY04gAGTelX1yJfXkGDn9V5Ch4HugaC
U7nfvUCEANCqgmd5ihCvl0LwVkSH8nATaG0bv/e5F7A0smU4O8AZn9OiX8Ok+kHHgMiwn2yXDq+e
fIKd7bEIAsqhCbbuM9aRvfV6EbCkwC7JPNQqQtt2f/ZYBJpuuE3TO+Dnfny9vhY5DpgrcRqcwx7d
C4GUPW8Gg8m8itkx0fLxRTD8dT8AdCOlAgV9qCFCGHrtuQgWczik0AzzdzMqBdynmE1Y2/c6vJvh
jVPc35dSj51oKIPP0fBN2gSIQ0ULz0FgRyz44S2CMGLecyfYH57UA59wn29uhsdsAm6lwEQe5iLs
n0AznbJ0JJCUpyriTbYADBpSAJ2oQy2q9f2Lal0kA2L49Hs4D5YbmtCjeM4mDnM/bE/rfuFSTGUZ
4D8lTm/2g/JB9B3pvx5qf0HfJjN7LAKlNdQHygVkWB5fO3AM1BIyri2HeiiMvQ8FiwBsx2SM/5tD
IZgyHAlYU9vM6lAjxRtZnr8Pl0CeAXdqqIJvj//rQyGYU+iNy+YTtPDwwuXTnGCPQyESaZsGApny
b7NHELIKXkeHWk0IY769cwYGdKRFgm3wa+5MsWUBZwH6d6DJwhspjL8/B2JqrwDngyK4+14URowY
SnF3/ueL8B8clh8E5akfxN8eqcm44exiMP/uLzxzct/++Qvi8SPp9pe/KajK2zff0pPF//+vX5nL
j7nxiz99zpUf3+np3z99xbdv/subPX+v5/94FDyUm/IeIYJHavTTB90ql/x3jIDJt81LyjBICk1M
yp7/226a9Y/9/+en50H68Pygn6abgnv486u+5XD/Zw9PNt+y8vlBLx7Owdn74RPkjHd9cCL43s+e
buJNy09SPT/rxWdnv+///Cxuqjc/KV0Jyo93eHhal5ipZjs968R1tvdbzB7if62zcuf6kyft/fx5
/K9ZVrJ5np/1Yv2pBvd+/qJ8qHY5i4igvvfDl/FDmj4/58UHf4/jetQkX7P4W/328QLnvvdHP07y
hzLYxM+P+vnpBYR8/8enw45fVJBb93706UO5Y80FhGj/Rwept+MiEEjyvZ99tol23GECn/0Oj66q
h11r8h4H9Cyr/vXfqfcQP+xamfc4oqvNNy7g53V4sRHf44iuNmWwa2ne44iKZ+fZrttd4Er3/llX
D+m37D7YdXsJRYt3eH55//Dt+UE/112AIPd/eMZnf37Oi2e/xzFdZTvX5D1OKY+uH8qHYccnf4+T
ut7kOza6aDjsveDrh3bzNnfE+Oo9juh5ueEKeP6UL37O9ziiF/Hm/mFH7igGFnsvy0XcJLuSO4Ha
2fvhVwGpYxV827EyAhCz9/OvN/clJUFa74ilAmfxDm+Q/mvygEj3rjd4j6N6vRFvUKab8tvOi0x7
j0Mr3mQWPHi7vsR7nFrx/AUn4D6o7ne9x3scX/EeJ9mmaHZFKzExfZff+qwJqn+dfw2qfNf3eI/D
LL7HalM/7Hr+e5xnno/e52RTft3syhnE3OA9Vor3mOKEseOyFsOz93qHshmfH/bzTtXf5WD/ycf8
sfOwRyfhmh7GzqV5l8McVFEwZM2OhXmXs/wnp8m9F4bEJNm1Z97l/P47W7a9P71os+yIwwK+tPeO
v3nwN7uWRsw09n84OX5Q70jaBCJz/6f/yRNn30W/aWgQJbv6cqK7v/dn/7NBwb4f/jNuxs8f8ucF
Jjrye3/wP6g4//lT72rL/sA6vG3WPqs77vpnv/aixd+4jx825X/9PwAAAP//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lang="en-US" sz="1400" b="1">
              <a:ln>
                <a:noFill/>
              </a:ln>
              <a:solidFill>
                <a:schemeClr val="tx1">
                  <a:lumMod val="75000"/>
                  <a:lumOff val="25000"/>
                </a:schemeClr>
              </a:solidFill>
              <a:latin typeface="Segoe UI" panose="020B0502040204020203" pitchFamily="34" charset="0"/>
              <a:ea typeface="+mn-ea"/>
              <a:cs typeface="Segoe UI" panose="020B0502040204020203" pitchFamily="34" charset="0"/>
            </a:defRPr>
          </a:pPr>
          <a:r>
            <a:rPr lang="en-US"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Where Do Our Customer Live</a:t>
          </a:r>
        </a:p>
      </cx:txPr>
    </cx:title>
    <cx:plotArea>
      <cx:plotAreaRegion>
        <cx:plotSurface>
          <cx:spPr>
            <a:solidFill>
              <a:schemeClr val="bg1"/>
            </a:solidFill>
            <a:ln>
              <a:solidFill>
                <a:schemeClr val="tx1"/>
              </a:solidFill>
            </a:ln>
          </cx:spPr>
        </cx:plotSurface>
        <cx:series layoutId="regionMap" uniqueId="{4F5BF584-5677-4CBB-906E-8383125C94FB}">
          <cx:tx>
            <cx:txData>
              <cx:f>_xlchart.v5.12</cx:f>
              <cx:v>Sum of Quantity</cx:v>
            </cx:txData>
          </cx:tx>
          <cx:spPr>
            <a:ln>
              <a:solidFill>
                <a:schemeClr val="tx1"/>
              </a:solidFill>
            </a:ln>
          </cx:spPr>
          <cx:dataLabels>
            <cx:visibility seriesName="0" categoryName="0" value="1"/>
            <cx:separator>, </cx:separator>
          </cx:dataLabels>
          <cx:dataId val="0"/>
          <cx:layoutPr>
            <cx:geography cultureLanguage="en-US" cultureRegion="IN" attribution="Powered by Bing">
              <cx:geoCache provider="{E9337A44-BEBE-4D9F-B70C-5C5E7DAFC167}">
                <cx:binary>7H1Zc9s4Fu5fSeX50o2FJMCp6akakJIs77GzdPqFpdgKd3ABuP76e2Q7GYuSM/St6GFUV+l0t00e
6JAfcHYc/PO++8d9ul5V77osleof992f70Oti3/88Ye6D9fZSp1k0X2Vq/y7PrnPsz/y79+j+/Uf
D9WqjWTwB0HY/OM+XFV63b3/1z9htGCdX+T3Kx3l8kO9rvrbtapTrX5xbe+ld6uHLJJepHQV3Wv8
53t3lUbf80pGq/fb18if7y/X8iG/j2T+zs1rqfv379ZSR7r/2BfrP99vjUTev/tj/IU7zL1LgX9d
PwAxdU6w6TgOYxg9fvD7d2kug+fLBib0hCBmU+qwH197tcqA8k1MPbK0enio1krB4z3+d98QW88C
L+XfU17G/ealbJAIAJQ/33+SkV4/vLvTK71W799FKn98a1Xv5psn/nT3+Ir+2MbyX/8c/QJe2ug3
L+Aev+H/dmkb0f+C9mmdfcvTB/37wTbRCeM2Nk1ij1E2T7CNKeKEw2SAzzbWb2FpP9Q7I0xAeofm
yIB2c5i2K4BZ6c2/f/fK5icIA5qUsidI+RhzcoKpyS2G4cqTQHla2W/laz/ie0eZgPpeuiND/m4l
AXKxqr6tHifA74bePDEJ4jZz8BP0sJy3hDp2TmyHUxNT++mG7QnwZvb2z4D9w0yYAvsJj2wO3KQ1
mB8HWPfOiUNtZhH6DD7o7S3wCTpxTO5YDrW2YZ/O0X68R/QTgB5RHBnCi3Qt5UEAtgiysLOrxUGi
OxwzaoEZ+FKiT+ZkP7Db5BNw3SY4Mlhn6Tsvr1YPh7DG+Qkjjg1r91lujwU3rF3Q5hi0tv3DWn+J
85tY24/17hAT8N4lOjLM3Tyt1SGMNAe8K4dQG1tP7hcs3G1hTU4Q4qCmzZGwns7RfpxH9BNAHlEc
GcL/TsGrfTgExOyEIxMcK/t5Ue/oY3JCGDGZPRLab+BoP8TjASZgPCY5OpCLSK4PoJI52NPUglW8
iaXAZ+xrgcHN4GNZzNzWzP9Op3L0GsZb9JMg3qI4MoSvVsUh1jA/IQ6sUUyeo2R0V0xD5MREFh8t
4qn87Ed3i3oCtlv3Hxmy/87A5KoOsnYpCF9EOCzNbd0LxhYjxKHI2WdsTWdoP7gj+gnwjiiODOCP
NRhZ2UHEMztxOHFM03wCEu0EudEJ5QRjTmBhvzSo38LTfpR3RpiA8w7NkSEtaq0PoYWdEwvyFSCF
X9HCBJ9YlmljEOPbME9maD/G2+QTAN4mODJ073KZZ4dRwiZ1bNDD7MlX2qOEGbZs09xI8pereDpH
+/Ed0U8AeERxZAhDrnLVrKuDRC85hLBsggl7BnnHIUYnNt+4zCbksF6C/Cam9uO8O8QEqHeJjgxt
b52+u8ohA/77bS8TnzDLBCNrk6jafHZ8YxPiIyYF33hkV7+Jqf1o7w4xAe1doiNDG3Iv7y7qSL27
/hap4hAxTuuEcGJjyEE8ifE9xpgN0U3Q0qMs9P8Da/uRf22gCfi/Rnp0s+C+gniY1IeYAPzEYhAu
AfxfWfT4xHQ2f8CU23xGxtrd6i28vTYDdsaYBP4O1ZHhfpOu7teHcbK5A+loyDs+Lfod2w2fIGZS
jMjTnBgt/el87cd7RD8B6xHFkeE8h0Ksg5ST2SeMYtuy8OuVB4xb8AeP8hnTOdqP8Ih+AsIjiiND
+DMI7/pAxSWEQ0oKvVZXBLFuiJlhZKNRXdEbWNqP8XiACSCPSY4M5WVWrKtolf5+05wSyDQTbm1k
8uNnLLGxdWLBQrcwxE43n5GWfgtn+9HeGWEC3Ds0x4a37A9hkdmQoiRQVMKeA2fjsgO88cod2+Z8
tKSXE/l5BeGX1FPQfXn/kSF7vq4OUStknVD2GBF9WqQ7kW8Q1psqUUzJqLx7Kj/7kd2inoDs1v3H
hixsJDhEnZ99AqBBUtK0fprMW+mrTZEnXINg9xjaqQy9gu0W+RRwtwiODN2LVXKAwBhsy4CwF2YI
ko+Pn50wKDlxsIVtzkZh0Kn87Md2i3oCtFv3Hxmym1CPWMNmkgNpXItsslWvLF5IVZmIINisMcL3
bVztR3nPGBOw3kN1ZIhfrJRaH0ALw74bE0qDuEOeFjMa29JQ1mnDZRNK9reTGtM52o/0iH4CyiOK
I0N4M4fP8lVZRweAmUKZgQX5DAKbLx4/OzBj8IxBYTvOU7XnyGV6I3P7Ed83yATY95EdGfYXuXr3
bxms0/UhrDHzBFmEUP7DGtupAIQSMpNCpREo9c1nhP0bmduP/b5BJmC/j+zIsIfpvdljV9XDASIl
9onDTGwi/LyZagw9gRpuwiHb5ezq8jdwtR/zPU82AfI9VEeG+OXqASoUDoO2DWYbYc8V+7CQt9wu
0OXIhuSWiUc5jOkc7Ud6RD8B5RHF0SFcHUqLMxP0OHqu19+znC2KN7srR8Gwy9VEhl7D9yX5JHhf
EhwhukV+kD037ARWJ6xf/mymjVcwBE4c22Qc6syeIivbNvkG5qmcvY701ggTwd6iOTK8P67D1SGq
BsH3ggyFDcbZKxlJ0M5QTAZ+Nn6aDiPDbDpf+7Ee0U9AekRxZDhfrqt76M7h/vZ2B+yEItuxuf1c
SrYjtsEJ59gB+3tvVcl0vvbjPKKfgPOI4thwzqFlze+HGSoGoYgfNq//MLbBpB6bX+CBQwU4Bu/7
ZX3o5VSGXsF3i3wKvFsER4buxzpdVYeIe0NSg6KNJH5lp8ZjcQGkIbE1gnc6R/vxHdFPAHhEcWQI
X0IV/+9fvhSiILAJ8qeQ3in43eALvrIDptd4+U7jZz+6W08zAdut+48PWb2u1v0B0LVPbGYzRtFr
OzTwiQ0bNGw63usM73syT68ivD3CNJS3aY4M6at1szrIlnZYpDZhUAP2HAPZE+hGUOANWngU8ZrO
0X6UR/QTMB5RHBnCd5FKoj6vf/9a3mzNoBh85B9tC8Y1QeA32bDl3YJg17akfgtP+1HeGWECzjs0
R4f0ujpIPBM2TdoIdr/yJ7doX24SLkI3Mb4/aRVN5es1rLfoJyG9RXFkOF9XK8hR/f71TCnUc0L9
Pbdf2RyLoU+JBVvd7XFqajpH+xEe0U9AeERxZAh/rb8dIi+xaeSKoRwXTOfHz07FEGx+hmohDtbX
tryeys9+dLeoJ2C7df+RIbtJos9h/d5H6j7/8ZJ/R5NeBn1bEWLg9+4v9QNdDDUHoK3pyGva4miK
UNkP8v5hJqC9n/DIYL+NYDO0ih4OI7UdjixKn8t3d+t3IewJW6WhxnOE/JuY2o/67hATEN8lOjK0
N1NaQLH2qno4TEduaMUM22swh0DY42fsXIGihl4mCLbT/RAxT217387YfthfGWcC9q9QHuEE8KJ1
cIjwGGy6wZB6ho03o7A2gI5tymFWPBeM7mI/mafXYd8eYiLi20THBna4Okh3bkhLQi84QJS+Zq4R
aEkEggAc8BHUkzl6Bedt+ikgb1McG8Igzy/hqIBDLOfHSgPGoDXgk922094Ccs+EwwEM5ijrvJGk
k5l6BeedIaZAvUN0fGhvSu4ge3UIHwyMMajwhD0br+Wg8ckmdwWB0dHuZ8D7LWy9ivjOINMw3yE7
NtTzdDUtffTG01M26SwIqmxSHo+fcSnRpvTTdCBytrONYzJHr2C9TT8F5m2KI0P4a54eQoBDX1cG
m2KhpdzIHoP9OXCBYTg1ZVs9T2VkP6xb1BNA3br/yCCFA3xkpNJVfYhyfQYbbhA0yrdf218H/UjQ
pmCfjYo838bVfpT3jDEB6z1UR4b4R6hnhWOtpsSp3ianNwcfwWZZ8KyeS/T3GGKbRQ7noYyW8xtY
2o/1eIAJQI9Jjgzlu033z0P0GIIIOCUEegc+V3qOfWiQ2fZGXe9kpadztB/jEf0EiEcU/wMI/5rF
rUfenG/27x9acU/4+61H1EG8C7q22nCY0X4ja7PRHUNXUMh/7KvXhgaNP0/WeyoI3MfTfmRf0m49
49Mj/vqlHObkuddPpft5zp+30qvZ4wmBLw6m+/XVx8eHsw1HpM8VlPte2POl5cOf7y1wb1+Auhlj
q/Ty5Vt8QuA/VGuIr/z53sAYwp6b3XMIWj1a0CAKBmzXT5cIHGe1qTQBjc1hFmx8ZQn9KMM/35tg
XuNNNRnaQA9dJGHJq7zeXIL+NRA251DGDzEU0OIO/nl+402e9kEuf76Q55/fyTq7ySOp1Z/vMXxH
8XTbI6vIcqA+HLbb22DpU9jhCfZgcb+63XQ2gLv/jx5oXpR13V3JljqzpvXDQuQ0ZombsLb5YBtW
fxZ3jUxmCCX6q87N5lNiqq4UypHllxdvbx83oK7G3EAAGLo/QC0zHC2xUVovuTFlXyROWDdXpJT4
KkgG6Yua5Xbodo3OHdG0Zv2VNYURiSrjunTLuEoC4Q+KmS4U38kHR2t0DWOEtUfSFH8aLIPjRW9b
/hr3Bu7mv+aYQAfeHY6hNgy2QMMWWThmEI04jlgI2Pb6inZWEHh2N6SfGvCc6FyzPrdE03c49iLm
czEwu49EnyC6yJqqx17V5Poh7JTCbmQUlqfgcM5G6CxEjWCVlQSzII/Dm6R2zjLlhMqDkJvzWYXl
eZK2VjeLlGFfRlXYZItfP9UuDNCyDkGbJOhPCtHZx4d+MSlYbwStUaTqSmrf+ZwHHBNhJgSmRiHr
7qbtKueu8HH616+/djPXXs5FKGGHM/sYhSa4sEeJ0A1bL77WQl1gFiqQV5IP+AonYX0lVeVG3A8/
//qbYPnsfJMDbQgY7EyHxDIfzbNCmv1QVmF+xQtkrso2r9KFr3lPRFKEM1TW6eBS1PPcjanVZv9t
0mwmxfaDwkSBvkQmNPuF0ynHXw9edxQGMouuWJlYqyyurVWSbniwhkzN7CrPRY8A+kWbli0RZZKz
tU4dtWyd3rzobFohl7Zxnrgxk9knWhWEeiHv+3VhNIWHjCFjruXkZnVqUXuoxa/f3qal3Zh/thEb
cHwPnO8CfuQ2UMiuLWlZvnGJaz9bRZVWgcBGoqUpaN/L4KwNo+RbwJ3iohvKcG7nZhe5BDfsu2bD
kLt9GDDXzONmHVWUPTRWEbKzXzNpWjsgU5PCJNpYxhCJtBjkm15OJ7viEapCTS9jsyx8h3vaCYdF
pzvqzHVT127VlehDk/VWLcIwZG6F5UKRqlikZkHcJC2z2yK1sk6wtA2+tHGWL3ultSissvhkq4R7
fil9t87jOBKRpnEr/FjJq7Yw1HVpDHQWBNiJhTH4MnNJE2anlq3TWxIHN0EvaSfSmpVX2i8/apIZ
1LMbAi8y6gnIBrMeBoFaHl+kocW/+qg2z0Kb44sh6BrHbVFoZnCyUR8tDV71mWh7Pni4tQxviLv7
QpX6rkYGC0WbaTb3VVkvTZ+Qj2WI22ThMwNHYggT/xtE/apGRLI0/q4zlnlFocgyyWWxxKWTPkRN
YcO6p1lyFzl+x0RTmsFZ5Ve128N7WGCTONdlm3Uzs63KOcYdbmYpHM4ZuE0b8NJtSOjPMkUrry6c
69A3AuRhnOtTUDWkdSWKbcE1S//qMhSek8op7iyqrUXtxAaZKzsbVtzOq5lCXTzMm4QHc6Pr0Iqo
tP2ugqKw3IFoVAsZkCaYdzrOYXG07awPmprPq9wPvVTT7FTCrQI2yFU5vOisYSJWcWy4zG+ZYLnV
DcLUqe9SbchsUdnJLDDrHn1oKTbhvOMKpSKGmaTnVLeOWnSUdRd2Mgyp/6FuS51loo/SXlYPoR8S
MnxVrdGxLBROBaI8vyd9FmtaQQf9ui7QlU50lnRnTlQOi8aptb/MqigqREzS/A4xgy7jntLarQED
X/QlcjqAK+Pck74P+lCnSVvO7KQNkFulGvvXYYlslp8mPWtDr+9SR1/YSlOYUa2fY9W6NejCuW2E
sX/dwNKxA7fkBYcJRxOVzWUaVY5IS1Be/qxrIts1fLBcLdH7SJpw1qufZW7o1K0/b1OWZjPlg1Uw
t2SQDS4fLJCYkiRm7WZhZaSiUX2gblRkZNksDyL+3agbFiEP5UQvIpPX/Moy/MA/k5RpZsWu7FQ5
9KcKyjKrcFYEIctmvmqGcu5USkbzPrWz/hQplRWuRfo0clln9emiisrIcAFW8sUosgF7UHOQZB78
RcZ1GiNDwSuX8kucZU62pJWj01kSavt2qDWl89jICT4P21AxKVhIQr3wq6aQd6CM6VkcDCSZ1wVw
MMt1GgwzjrvBcXncF+1lxnuY2gYslcrzMa7PKmpZqRf4NKg9JhuAM2IK7BM5xHRYpwmcAuBxYCDz
aJ+F5RKjyDwNIpbYLkmSknpRHvneUPuJJYy2Kpyb2G9j06VRGQ8iK+LBOEd+as5x4QcWsOuwYob7
cMiXYYTbYJY4ZtiKzX0CO5EjYfoEtHS7NjIGobvI+LuCVnS9ISJYR+QKDzIaIsEb06Af+7Ql9ZVd
OH3uSafUl1YtQSUFiiVA4GQU3pYfhVh+HXAqw7Oyz9JurlpriM6xDvRHMybWyur8zBccw+Sd17Jj
dKbsIQLmaxxnXkrLRLm89WcRjsqvaduCZREHcXOnLLv9VlQhPW1YG/gznliICMl9GMdK87iby6rB
V0NXUPOD0hb+iLUBd7S2obircc+6WUOyODqtOkLapWSBIteRwZzPEpWbyRnHpVqwVIXqputNzV1U
toBN2EpgLFcgdM9BgzmfKUcwuzOQkpUH++66fKmV45ObuKqT5JZw6ZjLzozb+lJ3emN8hn13YyWG
3c3yNoOvzvNhaERHMj0sUMI2D79hvQX5BHwVGb4yLQlPUZcWvKowyZPBdZIGlk6RBkn0QVYMlnxV
g1UQwDWQqUTL8LrEZl9JQYsQAdxt1dWXmREWSkSoLrt5B3sX6KxvSrIRGrCYXHgiECCdgzd2spbZ
Zx+OZzzjTRRxwUMrgXnRB/aqlRTY6Kq4v6W6Q+o8ADM3Ps8LmcR3HLTFQkmEr0onKL9Caye7FKEZ
RuQs54FTn/thHjReX7GyBQO3p4uCwGt1ESv7+yRNrJuuVig/LVHfJF9aOwvUaeYb2fd+cDYyJCrT
0AM/gNNZRPpQzQs7c74YyM/mWVsEpWAmiLm+asPbKNfq3MmS2PIsUpEAxB604BdNSJzPVWw0wSwl
EpbJYPjUWZoyx+U6A4Hcn8HJorA22o3EnsWWAW+0a4ZmBkqmLc9xVRPb9Z1UN6BpaYPA9C7jvyun
cT4aPZjpZ4OjK/ygleyVyDBmzTJqCQzVZTgcXLMN7GBZACytaySOPR/yptGXXc/Su7hRpeBMnZpZ
11inQ2sDOAnCalgUaZLnl9LuzAtDIzOfhaXMmvOgb4vQ5ZbKwo9giagH5EgQIyA6VSOSULVKOG3D
S9ACfXmXBiWO/sL5QHkjBrDA+k+FpoYDgym/moXMSIIzwy/ab2GAjMZNmbKTZeQg/KFThj8sqrpU
0SwaapikEdExvemSdLCuMrtIU1EWDbIvTRyanduDdaNmbVgAai2XUSCqgWUgO5RKZ7ijXeU1KeHV
YuAlzP7E7ALm9X6PlOsXyi6/tFaPP8ZhBXMNNJ3zGeZ6pm6kIzEIWFI48Zxnod2Krv5KeN1yLJKk
YZ8sIsvWa61Am5emn/LmtvSVU4Fyhxk9KyIKaILj0HcXEdVJfsGqIqQ3pEOpvfS73IHn6jojuEwq
o2i9TPkgM8Aaq/VlmvrAf+UkwVyFPAm9tkNo2ZcmrPvetlkkTD9kl49W6XPs4ubJyH9ywO/zoq+i
INSjH//1Mc/gn39uaH7e8xim+M9Pl9F9lav8u/7lXYt1vqmQUuObtkaGb3/mbhO+2PphJ5TySrDk
dq3qVL9y8fVIys+TLTaRBmi2Sy0Ic70w4nfCKU9nBv4IsG1T/QynQFm/CeeKwrlmsE+HbKr6f4ZT
oEEJgxgLHIX0GDQBr+Q5nAK78+C4eKg7s6gFeWqbAWs/wikcuk1Ct0GoTYK2GLBd/m3hlB2nAzaW
EHCcKVjiwCfe7Ad76XQEFWvjmPL02sDl1yDSIBXr9BvurWWKMylie3BVVc+YlQnUsPlAgwunL69a
noEmabNymUVlJurAcCtWk3lgoTnK6V0bNWTGWV67TdBfIO17tpGDeYH154iTwk1xehFaZeo2RnWa
JmqV2V0gamw++CRSbmFkgRtY3XnHm4ekxqXLE9R7iNKZ3TeWwL0cZqg2Uq/KrM6DBahdVju1a/bI
dnUu+7nM+xvSW5ZHgvS87iwqYAn+RcGd8kAyPuTIPgNPu/DKThYiaFQisoAKKwTvUzLnZnDwl8Yf
AhHzKAF3y2hFyjT8aMeROwQFEVkW+IL5Sxroec9yX5QgmwRpu89DGFxqJs8LvzgP4ZlE3keVyAi5
baPEa4IgmyWSXPqYfPT7VM8bOI5NwEENEEtRDbhricGFadLTjPaR6/PiC7cqw7VRH9SBazVlFNxp
Ehd/g0HwuR/M9lxzdV1QrRYpbsHqL6u/uwCkvkwWWdHawqytXJhtn4ua+kSEPr8MA/KZloqKOmqv
DdgpOEuSevCINQSzwQGFG1SOsTDy+pYa4YOV+vkCjA8Xg0lxntsr3a3A7pqbhb1SPc0XdYUWcHBv
MKuKNss/OziUdylKi2QdBcND24W3A0V6xuoiZyKpQs5XFY6vfJjfS6QlOu00ya9J5TvXZuars97x
XdOpZ7Jl9qmu+ligEEVuaDr9FY0HkHVRnrULcNu+tLL1WJSFl7TL1yDKySnKA6cUlc3D4SmQ8Lul
4f+anNtsRPm1nHs8kncs6J7Ifgi6TaPMTdMHDq4Lh5OCIAbzU9BBCR2DEDAsTxCAmMClH4IOOvVB
XQZUTpsANYSc4dIPQQc1W9D0HHZKQAsYOIMEDh76IdG31BbEyp9/3o4b78QI4bxu2CwJthO4VtDO
dRRC411QOjUP6+s40sUZTx3zspLdOZdp6Vp19dnOMq+MdXIqc5YO6zBXpfGh7nvwZYfIBTcq/eCE
hRQ66T/owDzLVZbPyxSWPB56iH8m2FhEaWMKswjnQdKES3CykRsUvinADApC12lKOc9YkdZ3fVB8
dUJYkIbNwC8CTyd2C6LMs6YzhjOrkF3ouz3vo7M6Tbye+MapNqrvgSMHCL0if9HjHIJAOHGWaR00
nwuH83MS2cklpxJiHNFdUdOwmPGsR/MC88hrKgN5rHGkl9OBemkaEUFsB8wi7JwnrNKzMsCupYme
W11xxa2wEQ3NHRBOQycMX4PrFMr2tGrVFVbKcbUsv1ZtcNHjdhaCbCaKXCIzOG8HHQodF7WIwOQD
8cndtlawlAFhEfgGSIFKB9/9Nrf/7oe48eelVYYCYj/glocKnzpVfRsm9I7HSNbLwg4N/SHCsjyF
6I0ry9A+La1eyTtbI6cSYe2zRlDmmwuK2yYWlm99T/y6XW62ay5qmSTekMmbPlZXtlmcyTS8KhE5
59qY56o9MzLbywcwqUopUDy4VlQ8tJLcRtr5ehBT6n9NeEBJFeQY/vixNneMpLvHfYlj2fFE9VN2
gCWEMMUwS6EZL4UU0X9kB9R/gI3CKOyBhcic/cJI2hzlDJYQVGKDboTKTmDjh+xwTmAQaF8AlQaQ
DYA89FtkBzQGHcWPwS8jm1Zk1AKHcXMO7baRNNAwC0keoWvwtSPhZ0M8s/HfeQDejhgsH6xyW15E
vIE53zrkoi3g9xVh1zaW13VZzG0e3KZ1/bdSg4t6o1uoJPxLVtaiLNgtlfyygPiFUOwrhikq0k7P
Bpaca4spESirESSoPxWd/AgrohS1g1K3LLH2UFR89ePIsy1ybvUxxADK1QBKD8fDX8Q0Sjfr9Flo
yZnTxcxNhuhU1WCsxXL4CwfstA2TyDUTfdOx8GucyU8Dzy+cuPzLtEkmEot8N1r5pazqzwnOIKFS
W3MwCuYDG24iJ2ECnmwBflDttiBVeKRtQX2egEnULiExJBKjBzNCmgtWGvNKNVz0Gf8M+YFOFLpn
y6FOMIT6zPMYpZC3aI1Tu41MCCdX/mlt9AuIwS8hBC/awr5ti/q211n1KbX6VVoUiWuX/CwI0ReU
Wecc5ZlboO4ySCBi2gbMmFmxPNWNEbtdXZ+bplraDiQpSt866/GDkvLvwK8/9dxqRW8moRh4+3eC
1CaeSC9TZq4pKxrXsfAne/BL0SKzcQ3Tn0PiIBB929gzcOFOY9UvOG9nRRNd1AreWRCkptf2QWxX
Iol1U11ByAWHM5/F+UJbERi0Oo96MZgF0suc82CmmdN7EDCJY1HmqGIzEpl+M1OKameVNmW7jLVF
NMQHUZeJjra96WYkB5cvNUMvCMvSLUznMqvLcgaG970MqxLEtUk8ahqhICSH/2uR1w7q3vZrEyI3
5Xdu2TbESWOvl9kgGAb9FVjJLRuK/pxRdmWEBGJUpIAxkC1yI/wr7cyvknet23QN6JYEtJlRRJ5Z
Wg9xob6TvlsPYKeB459+DsCcFODdXKKm60WiyHkljWgWt5rOTKu56QgNPOokp2ZYfYW4GUSoDTOd
WT7/2muSiMK0Y2Gz9kFx0gqZth3MHO14UKQGQbDYCS7TwLgKvqaNJ4PgTHbxg9kpDxIfSyLBQE6G
c1vKRZwXHxoah7Mw6T4VJkQl7DxYpCEY7SYojgDZX/wigxwW/Ibj9kswlB8iP3V701AXrfoKGSMl
/N7Izw3GhsiDoTqBWOIZoJKEbafCMELlplXXiLoFxOOwvK37PFgmYXg+2PJqqIoz8C6+245ZuanZ
VGhe9kl1///1ypPzDWrgdb3ydAb3rl5BQPVSr8DBDMSCNoNwhA6GHRw/bVLQKyDT7U3zwW2TlJ9A
zxsEzY82VWiQ331RygBVxhj6SkMaFrZnQ99J9ha1ArbvWK1AItdBkEOGihk4jGtTmvzS984La0is
3lfXKKUfk1zdEWWdZ6b6kHRFLNrGDM8CBPkwbJ7GfR97WZL4c7+xW1d3tS9QWZSC9W3tQYT8FpnD
4IYFA5lqgihWA/6gUQli24GxJMvDWRoXeOkEFRFFmN5VTMZikDkXOO8ujRLlIpNx4bZDY7hGZ/ke
0yyepQ0xRKXb8grJ7CM0nbEuWTPIi5gQLXKblGDTgd9HUrYwFZiTvMlb1w7DQAyV/BhKDramkRUC
VWpZFtbc5zqYqQTC6MzM1pBs/QyJKkOkxDrNqXFnDKAU/FJdDpuY9GAF36AQBUSjVfdulbczWS1j
fIED+tCEq4q62glO89wPvLapIfE81DG8kST1ZNolHhlUMSv6eNUOEHvodPVQ6/YM66IVDoIHqhp/
qSp+0xusEL2cGcNFrfFZZ/K/rdhe5ig2hdNbyHOYdVEF1U2UdZ0wGw4lJx2+TuwqBTFSzzBHAAkF
ba2DQC1ZZSIB6adbErTmB8cI7zsiPyjJIfqc0tSNcIjnpMwJaPwGz6kN8ZXCz/UsTarY85MWiwrx
CxKFy74GjWhVoRdzedslCvzgocazkkK+nCtwTmwHEpk2RK9nQambu0Aj6vrY+RIYeSzyqFiUKD5T
CftoOsMKG4FcZH0iNPjicRM6Xk5CkLeQwAKhW5y2qCGurcszOBBDAX7lwqFZ7CY+luimMLW8434J
X1wpiFHk14NZ3Ud5my9JY9zABF85Oaj9Kg7kWZjgv6qyuawgAecZ3ISKkpauu7ZeN6zv50p3hSgV
908hJ/YtgyUqcmDFTcCDmUdtfWeRQJ1nHJ01cfy1GJzzocRgm+fhIm+Ni7LvC6EQR3Md+Fjkid+K
SqkrHQ+wfJqPYeB/K0PGTyWFLGRsZHc+mHCQ4ai/lJQtk1IHp9zKz8BD+L/sndmSpDbXtW/lvwHe
YBRwypBDZVZlzUOfKKq6q5EYJEBCCK7+W7Sntt8hfp87fNIOd7oqM0F777WetWmhzZBulyhxJFX0
NDKXXRktCMr3+oD/53weTGRgSkhZ6oqM+Q8DyoxwEr10+/JssOQuoaTwaPiiZD3mZp2mTKHHuFL+
ZHOL6pGxhQ9Zq1qdr1bJ18ql1UEwNt7WJEqzORgKKxZvl0zdc+KvdVZpBs2/9jKFthNfUC9K2tYT
/IeG427X/lFxyTJZE1aM/nR018Q9Dgk7xh5t9wS/SzaQYMlwLOosgW6tar1mchCHUA+H2iFFLVcN
f1hj7mwdD3daqHP4Uyi1IYuLtFKFDj04jPiDE0a3dZVmUpknz9anaJyuZLDcoKo9mBhN76q6PXNo
k4mOrplovBtjpycuI5G1C7vtwumuqebnpLHXqltfFYUN0oCPyjpZP4MhuAqte1iUetQJcbNhEm7m
ShlkaWvPjRrK2B3lrlsSlfmjvaZjcNeIpS3t7JWx31/50ySyRU3fw4h+4ZV3AahxA67kdqhjCIdG
fVAa2Wxq1teWQfIKhyQpYaJ9UV0McX2hmFf9/lGy8GSdXpamxVUDkGhpnoOpjg48JCLYI1zil0zC
Ao+4LP4p4b+UcMjJ/72Ew8jWn/+hguNFv1dwlGkoQODP3A0pJj9XcDCHW+FE/joOAH2hTv9GI2LV
LPZvAKT5pUxvQ+Mfk+EGvkEKiqIg9lwMjb9Nrv8fqtKPybT/mYyKNgKMgG0E1R6GoKP+XMJNbxWI
AhZclA1d3NzmiAZ9KLw6CDAUDjsZ+BPK5/IS+1BdVBV+HYPkrHFtFdFmGtYWwoUe2UnP0s2EK66d
2h2zZO2nwipzY0eiCrSrMpdy+lhS8cZ4VcLJvm/Cei8WfeUH/v3Qo8bXwzJlae8rSDr+WXTw5Csn
flJNKvM27TTsPPq0yvolAquA83a1ObHdJaqCizeTMh3kVdwOxyZag+Nq6JhPDaYAw+weXGPpJ/13
KFv301xFV6Kie5hJHwlmmVStzxZaWNb4GBIDcAEZCTtRBD3NXQsDIO7Z8+xNXxprwpw17OBPUmS9
iiGJMwAmGudtzvvgpumGq7YJg2wex++DYV5mHYkTs00uvBvRmVTDpY4MeupOw4PjqPpxJxvYjGOV
p25FbxSRboGSs5JsCNfviW+aGxPGX1eOD7enHbvz4fBlTI2fDOrRdS3bY5Q6OAT8ftkzoZKL4rYr
43jGtzaxMBsrXeVNZ2e4/oJlOJLJnhtYFWSEQRrauLpzq8Dbr31dZUPFWzRRQZWB55EZ74KqdJe2
PgSBbUuHc39fs43UW8GdEQtfGMcc7GXqFZ5doKCHiu9Ct6e7cA7acuy0v9cy6EoR1GcoYKdV15dG
eEe9VGvBu+Q7XWuS1XEXlo7iQbFMUAE8Gi/7Zqra0q1Zgg/CWyC5Dele1wT+hR2nferDne2qEegd
uIZ7qOzJfuojVuIZlPXBdSktjGmDTAWBc9diwVzWrXing8XYyIlLdknl6LxeZsz0supLB7QE7M+G
X0UomfvKZ4+Lr26nyRUlc5Ilk7r/kK2C988ICJ0hDa/6FEdx5W2E6bp9RNwXX2YV1U8CaEimWCoO
ywSc1reVzFoqvEuUoKtk/Uphkcb4jEdnOiQzvAA2h2iC44l/azoeQ8aLaWmqzjm4ut5NUVtSKlBl
YRJnXSrGDDBRl6EpmTKnnpNixBSYE1OTu9Wzd7Wd7sncNaXya4/nrd/eAC7TB/AH37VYP7Rn2E73
3pS1aTtec3jJeWBJ0Y4DOZJlpmfixGafUBHe+870zFOpncLVk6V75lvPy/jUf53xW8Wr04DGqNtM
JWzYO3x59JzZ21lWkdw16ZXofFLO8+JlqZkg9Kol64EjgqWqSi6Ec+WE7oEHwZNBec8hMT92Q30V
1+J2jlXuOPG1ir7Q2D9NkphXtMWfM9FnGzpOJmC/FMk8zRAuYnFIU11nfITTVTXu2cdPYz07GRN+
H8Dd5N7aXruz62UmjZ/XBNgkr9cEblX3TcVgKYFaHWW93AFPP08RB+fHTFCILpH7hkPCsYZFhV2k
zQxHNzTirwsFFzBWQbRbFnyF3tBdJqd6aC394srprQ9xPCRub4q4GU989t5tQwgGhwCYnpLVzps8
yNwBWNNwLE2tME+sXocey1yrZH6ZsC+viJ3wNrVxkskuFsckivA3tVujE2hN3mt5mmr3AIte5Aba
Tu3K4cJTvWQ1MKzMsWmhLR7fTEmTRYYXoOTIG5TlLiqlsNfC119lGB/FFL3CmY+OvPOyelw/wBOC
mpP2gDfd7pgP0q/z1qIl8Q2rccqk0kEfM+dN6sjMSO/gDOSwzENR+xzsJZ/vwMefW1+hk+fth07S
QyyCG6/q90447CvQcvhOc9t6+PfonSWc54pP3xWPb4Hf6tLI5ai7kJVT3EK1au5AODmoBVPeBsuJ
6fauS53C4+yxBbLNiDjEUyuKqeOPLdc58JIxE1TFWbesBwqCk7d54ioLgt7PMeV+0kksGeoYRDpI
NCrBXNS0eUXEvcvHsfynN/qlNwIK8N97I0Q13rHN6F39h/4IL/y9P4JyvoVtYJJh6zoJf1bO3X/h
+VYQMbCiG2LG5uz/5rol/4q2JypgTTuQqj/jBVg+t7Uy2HEFWHqz5P5WfxT8lWneNmFtq+wIbD48
UT7G7/ezxCGqBIXEJPLium116NE3sAru9hjMpyk2C6whX53t5Mt94K5osu10K+oQJVJ0H2Poy0I5
6oAhIirTYFzyaiZBVodsyFGcV4x2s18wnThZPJC1cGbb3Q5V+sKiFXPYGAS5ddcTmLzzGIWHRKYo
uQ7bD0v/QpNK5uuQXK/jAktKNuYApuSq6uoBMFB0tSYcem4YXxM/fKoi2FmaJ3fpDP1PjBzSyviO
sJQA+lQ9my7qsxmIPKDQ2OSNWa+JiF8sBTvoBcFr2soXYs0pbbzzHLePTtRd62Tuc2BiT2KkOGw8
4L50PsVreC9EvfMq583nNq+GagcVJwaD0Z/7WL76CbmBG1FnLLJ7YzFh4aJ41y1mI2FbljmxLjlZ
WQa/si2C0W4677CUSSKm0hizgPjuLuNswSpWwUEyn2cYy2/mFnNctc7ePmr0riYD1AZTQ0v1RO74
621AyVdf94/NtOzAOnVZUIlbG5LdwrojBzqY0Vjdkil+YgOtyj5cXgmHN8rnqC/QxTd5K7jcBXxR
hfBjtLzr3WhFvPNYe2W99pOtHdAz7T8RNnpA5XyaE5leahP7Ny2NDzapHoabkB0JJB5g5iey1HWO
fZk7HhvQDQOwMA1fRgfaABNLXhlBtzMNws9ayfdgWUTWdPJrExNZ1BpEgT94uzYB9OWiodbLgS9w
D7uu/hjH4DOO/E905NWhGsKbDZizZoDy75qurKG8PwdRAzZ4SVB2KM+lGK66iBzbyAOFynZjUkEf
AKBcLtb6uV8RGAU/2AcRTbqcjXPH+/lbujbzmEcuzF8XYss6hApe8HAF68bPBwgyKdmGfJ9CwEvi
pAjD5OBvGo4c7TvQ2UfuysKornQ3oxmXLq6j9EUGJsjZpgah9RtKnla2bOIJRjbwMJRy6Ee6xbwQ
RO19ahAB8mmQIeBxFCk5U6O8rNt0qLaqcV/E7VQm0A13waZX4bEP7s7ZNCwXDN5pgaxFIW8Fm86l
IXglm/K1xT2OvcJ7YXoGY7hCtgghtFTuepESd0q9qWhwp28pZDXWuW7Rb0obgeTWCvJFQ4JT8o6H
sMJGqHNJ0tGjJfLG0nbODBS81JffQtVCQoK214VdX8aNgi5vnaboNwlwjjbhc4iqgq3OHgpNvX7x
N81wPNf1UUFH5HJY8oHiMjAdfV82sdFfhmu6yY8COqTtw4PwoPMvUCidqvlsJtwyvpC4tqFiqhTg
0yZrpkh0ACRsHxGs+J5u2mdlcd0FmxwqRVWGyJNkTg+txVSDODu+ja49CKkO74YbawAqI0pQl3G6
0sJuyutEqcyrEWosm821GZsEKiGU2jblD2zE1RyFlXccW/gaIcU3DnwZIaBlvZO0J0ARAvTOnVnz
HpJwMIwTOnzcWGwdaOZsyjH8cLozi64LOejwwPB9bTpzA9ofdNBw14XBqYUU7VL3kW5Kh+ebK7pp
H8G6Wp4pOY71pbfe+NqkkZpLogSpczXVp2kyMNC1CTofIh4VwCm4ekvSioXnf3qCX3qC/2mlIx4z
qff/0BDgVb83BNiHgadaeshGIpYFfuYnywNLzbABBaY4vIYfQM3vDUGK56Ii8omVOGmUbAsu/xBM
gCKCDgS/A8p280P+npW+kYt/FUzwnPMQaxLxKyRwX/7cENiZVkDPaXhp1j5ejiuRXfBhWKDpBVhz
0HUQQBz/kNCtd53YwxJWYdbAFkfZmNzMo4RnSJk15ZTqsFBR5x7cucEsYwMoFka+e8ta5RhC3tdB
2aILEEMcFTm1XQWqnNa39QCWt6K67DsVZiYBT5wsK+aoFEoLUEOKyE0D19npTMlG3RaM6NMk+jTz
Yv5iPHLHA7EnbTfm0hbCrHs+gJo0budCNJZ3K5ROSeQRB2CU8VYiKqEd6BMgnDFhre9pPd4RMriH
CdMdJE7/1nd1ez2Fq9zBDBWFT1uJ/M7wPaDV+1SDbOycuNTLJ4p2VCDDVBoHBmrbiWvrhy+9qCCG
o5s4hAqpLXRWfd70HssCiUZrTdIx94w9BSuvS39cP6eE7iZpTl46770YVE8v9ypQ5YiYESZeg+kS
9vpogk+Ndr+Zoeimbgb16iwwDqwRwkdTRQHexDo3GBmSbXZo2/7QYZiwsn5sMVxoLe760T0xDB2g
lsG+R90dvOF82uYS1/JR7LXjJbuE9Fde1H0IxWCMxPSMufeMJIrIQ8z85ArN6njnWWgiX+qxrfxS
BbISd86ql37feZhDKrdxXwESpTIjpvkKvAQD9DgDD5++portYj+t8jnBf+bT/ImSqPJa2TTrjD3o
hd2EgiYlOsdlN2j2fXYw/NTJ8kbc9FGv9s4z3hfkFa9cub5xU6c5iVRQxlX4jfv2anar5UvLhiYD
VIaEYICG0CCdFrlQ2aPxDpj+IR4T54zc3OPC8bZAf8Eyq5ILtQpYGVuhWkfFxDSGzIakpSaLe1jj
714tQ4RO9LPRSBx0PQz9FgmYpkqDfeRwBNoQDey9CACsGXNHsq9VM6x5Oy3rLpnh49VLtfcd9cZn
eZC4bXKRCJshAQQNQa0wM4C9eqDr7RxSWDrO7UKd11G7V6QPPMyi9VNEWYX8kB/DzIKVgEAiePlD
GzcxTCJ5JXD6ZwzppmlIooyR5rti+tJ34btREEFa2BjNUt/A3Dn1AWgytHMngShW5geByWt4ACPj
LAMmMe8HC8xeMxQvP8UGqSZ5W2NZdm10dFX1FjRB/7DCds8cliCE6EdPscMeLJxJN51fBxbyY8/S
42qHE62S/kSleiXQWxDefXAIObIguTipumMu+ezD9abrxkMjcW2uZFmL3hNTgSTjvTHQKxD+qCa+
H2uWlo1NRYa7h3xRRh2ZX0/3NDEM4cN2B03wRLRq/hl3f0XpgXb+j3EXEtqPTXBK/6cCh9f+VOAi
PCYuwFjrYc3IlkX+3dP3/wWMFOsc/5D9/5h4vc1ASPFo4NiN/lTgsNPZg/YDOPQXw//vFTj33wvc
ls/GpIsYPf7ZJvKfJ960i9dUwDO8tIYjSZqPwHquWuuFVwLie53XpHta6gqDg3XOiUD7WEcd6k1N
CiYcVDhdP9pKn5rEPhjXnhcK/7tnJAVkkiAtxFeEMPXz3C03cRccIw7WBnh2NmwMuLW4fSeSW4D5
fEW73EFzRclNMZ6ldo+J+HuQVDqff+COvFlyJFL8cmycAaUi3E11neDkhWSFo/NtIbDGVBsuJVSx
rnDH/jEkMDfDyfExGlZ50K9uvsw6C6vB5KOgL23qFdonMOsViBw+f5CpyWo6dEXkxV9hyPHcEP5K
EPgC4kOOgU1wfkC0RazxlVThPon7NadzsGM4k7JAdQefmKgwMjkoC0R3AUaDNKD9WCT96LS9uJIN
ODr1G3dTnndhs28ae4RULHaencdiNJDZkqr/VrkhREhPvPYywvSzKZR00p+E+uuNapZ33kf0hMYB
ueoILBdE2NIRiXfvw6koQqRyc77ltySKx36em5MXDQbdLWQGqH2j3iEdnq9hzNGXx3LXLoGbtwjp
lglDk12lK+h7X6jrxU1s0eDQ3iXw5wvaOkuuwZpkI6BAmARIDi8up6VwFT9hwGv3STrrBz8y6zPY
DFZIF2m7RrXuNZxrJDLmpnmTI1xUSKvkFeNgd69Gb7hlxOfHxBvteUgphpSllVdIw41QvcOwPtNZ
9FsY1J6ncW39bO1c+mET7iRILznDUfjuXSNTr2Rs7p/cBR/8nmIFxhcHBNb3MMFg2G1I76yXqWxA
+S4dYBC1gb9mQ4DViJglmGCNE9aCER7ACisww0jEprkzTDfjhhPTDSyOAYph+ABsHG/YcQj+ONxA
5KFzsTBgQ5PBKCNFXGXNhi2LDWAmG8q8ho1XyA1vjjfQWf5gnn3+EP8CQQOHlhsYDTPEPKfIIh8J
OuyMbQC1kwClVmCq7QZXI6pa2A23/mdO+TGnhP/zMH/49WE4/z6pbK/76SAP8bBPDxEnAkRrmzl+
P8jxjAyQUcAQf4C92xDz60G+LZrBwhVsp/ljB82v1i52i22rZ9IEk4WbYsD4W3SW92Pdwp+s3dDH
BhYYzz62XuBX+cuk4lFQ681I5K0d3XgnTDgD7Q8BJYXzgcW4jcyy4LKFL3IBneyekMIFMEGQjj62
IFJfOYIs19iYA908CIaHeiLhIUK69GZuaP+th16CdC/IUdbGS/zDCcv71JkDuAWOvVVw/y4DAvxv
jkv0zqOA3HI4hW2BHTMCfWCffkscdo/gfHSpPM+58is2I82I8oLFIBHoyHh8mP0IsV/FAL1MQoIW
mxwIU9EiQTa4OmOB8j9lNLWvkduKQxUpUJY9Ve8G0yCo/oTDOcScENfzeJqY6e/mWpTtxPWu4lVf
mNkLzYU5IjRfJfyn8OQJui52p2Uz7b1VT85nWKU1u2Hh1vciCinGS7zFKOLKs+yB1SkUkHlC7HTV
wRrPNwlcEZK5VchsuJPtnCDm3pp+dgowQS0/EUc4C1r5dvmojT90pT+nu3Sg9o3MbfAOlAtZJ8cS
satgNV4tE1ke4K2v74i6RyBUfO6eqhnIL0CRdE97U33gSuK5K9b1nSq2fhJuX0dn2ImKXzmxVEXn
EZPP0dgfEMmsPMCiEwzWJXFOlaeXcyNtX0Q6bWxmO4lVAnyu+E51OoBAZaAR9c3wgrrQHlEcn4Jm
YIfeGZaMuTMGhWTUB1Ir8pCwvjtqR6dPvTuQG5sObgHQd5u9dCQfqXKRrASa8uHEs3MVtDrOetj3
deI5xagN1GDHUbbEbDzowlLef48dqY5LT8U98srqGLkr+VKtXlysaVw/QZ2uz3Ed1tfKGeo3uMYS
7F+8nFWzyrd1ss4JFy9qfCzmS12N9DVZu/lJYAwr4W7xB4fb/paZFkwUAj5A7sLQKIBPoQc/LmW6
VDZSRTUuc5xXIiIH3/ifKcH53gZXsZ2Du4VAKAXqQ7zPXvbrbuAu4sK9IpmeMVL8cxb/OIt9JJ3+
e2P9y2PX/v0k3l71+0m8xS8AwcKi2aSejaT5/ST2/gUN3SWAW7YdXhvf8ltLjWAreBzks3x/i+p7
OB//gGxc7HBM8GD2BA06Ql1/h7H5sUbpTwcx0mFo2vGsWfhIeG7OX9Ys0QlwCEIWy4WL22CB7ACI
A7lr3Cl2BSDuLug7Ul+ck7W9T5bwYwHRlsfOChKWAWJYuEJGXqfAINMLMCMJJI98pKy5bqf0eV2H
p2AW36ep2g0OCAGexm9tj9s2UQTO94ydCH53lnMA9p2aNGvW4GZ2B5a3xN0ou+aZVGTdBZJ0UKeG
3Id+A80+em3a+Lla1g+HJiKnTXqYh+mp4fp2TMMb7Ijy9m6aPGCpypOUtrqhRl/J2QBEddTJSxCr
sMJgypR4zyv4T1jdyXREgm2HsYNmdSR2gjkvU8/zVEdZ5Kc3LVbNrNh1UIgYBAQVyitXgBE1H3ZD
0iYF1iVkCBR/kym/AMElWcWHBYN1V3BDg9zrFRwxOEZRHfAcoVDkYoVTl6kTvXVr45dkpnFpudte
xZKnxTB7gAMxZttYbjCBKVqsNSqw8glHOoLsgTc9kAVA3TpGz6BBhyav+Bg+pPFUaYwzkQRvYAlC
MU/ePK91bhIkwYoIsbkNVtaIT2Dhw5alYFuugsq1w4HKzwkxZYPohdtaME3IYiB4CrClqvbWRU4j
3hIbFNGNcMtwdAhz9HV03W7pDqPXL+gZWUYULhyGCAg2rXzh7eeIYMgQthLqOo5MREbsGNc5QYhE
+q6DBEGPzHFsrtMtadIswQk9/csSkqtuy6J0CKUMGAeewk7dV1147/2IrczHybd7W9f0wCN4LA6n
B+hckPeH4LRs6RdkKOLj4qCNWBGNccyYZARhGWSI9i5HYAaQZ5YgTrOmKF2uhMAfVqJIDeAbg/AN
5wC5XMRxhE93AeI5ykF7PI7T89q2Ly0CPMj6dXD8hlcX0R5Bm6cFUZ+qG2/tlv2xOjk0CAOpUSDd
LdmBbjmhNgRwhOBQB80q9xElMkAiBKJFekE7gKhRisiRh+gR4bMuaDC3WBGBXFI7to9TOD6xLbHU
T/B/EJY4NQgz9avXZzp+G7aU0ziR67GP71cW7t2AvmDLnd1jvMg7BKQiBKWwUGgXIzgVhNHFbkkq
WLv+ud7SVQNiVmuDbXtBtWvEt6ZB8tzoulQz3Us+u5BTQwwE0XLLSVQk8DCwfQIDqI7V6zopm1Pi
v4O3EjDdGp27CFx6EBUzY5ZHsgJItRL6VDDGj0JUp2Rw39aEXQMHvQt8Z++5jcjSIf1GITp3aYLL
KB6OZupwAdLHtl5tSWv/M6ohVnPjPeIyfo01JC6PyhvNyZ1KA3h+y1jCt76VdEbkXHlhTis/LhgV
UdYSlsIQGj0MtLa9XZr0vmlwrrClH47UMLfsELfcCZJ+WKqxg224pd4IiTUGrq9ml+bdMqTlWEen
PlHhLfZs7J1FMth0ZqgfeuF9pUuAGGazggSU52CtPjzhIWQ6LeDQUqfUjX/DdFVnqsdyk6VNxC5t
8MwGcEfASVhTjE0Pxk0PKUJcKT6BNAZGHKEJoOF4RnNx0r53xSfvyJi+HytjYNYGR7KGN3ZyTrLD
u+TNUPQaQ3G0OmGxYAthzbopT+LwH6z2Fy1tS5L895J//T7yXv4no2h73W9FH8taA6yfQC6bhMjB
bI95/r3ou4hPRkECJQ2rPLck9281/0dcGytjfgrU/Fbz8VwcPCwJs1kShIhLolP4O0V/6x7+7BMl
2Pa+TX9hgHnO9/4SuaxHp/Hj1WeXzl1Des3QBH+xnsuSYzTi5ryVzgxIYxrIF8KwyO2QOgIq/Gyd
+Q2LXtRzykL5kKY8WrEScZqBHohYv6gABg/2DbVxSVgNbIA7z4ijwUat1hCsn9/kviWwnMV+Akg+
GfJYtcv7XK3v0PKAvdl7ohIs+iLu3m87fvEXREe8hmADGS0mZ8TKu3pEeYHjU41G5ZW7vDfDaPJh
hicxIdaQKQ/83LImLZaAJbtWQPtwBCC1aMIWoGocMyw1PfQduQ9NdN9x4hUNVg4u1N6syVjh9Pfe
BzE89IH/hSV1kEk64kgQoBkrf133CU/B3xnJcxJG9zWJz/C4Xv2u2TVEtOduBPbGGpyl1AdRoGIv
CxFtybC9KMn7tblHYXkCPNtfB1j3iYBQiDTK5hyMHdYJzaFB1AKhd8RdLJaciqo9C9khrtq/BgQa
oPLcvpjc8XNV44L1XuBeEzUdWlWj2+kOXqOLPo7r3eKkeRiiH8F6EthRgGxZjc9goB4cdPQBBy7w
pxA5gkyk8lmw5lucNncJMo9J337Frs1HIregua7DM43okfcbUzFgkVsUM3hO2MdRTeRcwdiErRre
Awd5DEeY3FUUfyNSnNYluO+XBKadm2B4QcuU9WYLzVT2JLiX6208g4e/b7ljMx/rDXOgnxtR8lwT
1RYEaVUojLwkvX7AeAPSYaY9prpkFw6xuZkAGCGLpBKUvPCocYw/J9uukrGZ7lZj0GUF7EYgBJsN
jgsReJmesOfig5o5OoCBmdCKuDt4Ry/YafAa0yr3R+8dLiZ4ne3XcM098rW7ga6XtuEIhvi7lN7i
YpU3oZnObdrcrgv5whEQ2olm9XajRQQlxGF+dJHy1ASXnRfVZwnGKgFdDVUsecH6RSfDlimeewDT
c2fku2ZubqK+uwTpeMI+71ujkiFDa4bEaBzunGD4Apy0YJH/1AFLhckTX/WGXBbkfTJBppOT0l1l
BllADXlM6viDOPZ6JNOnT7tHpeMj9jWca9N4R5fFWN2CraHI+eB7AKf0DetMcIutVZwltp2KXpAL
3vw2HrLXYYSK67ndxafe7RCFuyFtPhwHXtY2M6NUoUwF3a2eZHIWATvFnRYvkNFHZFIgdzquaE9O
O2E5H1vQL2LyyOOue58pbWC2tneeoq+tI5ccSy3QgabhIU3Wcyv09eSBZprCN2wHe9cB9m1F+KGz
f1cjENvSFOisvkCe3YdBeAiwN2uHVOn1hMexZyJEPV0aUYQ+6PwQLPASsStsUwxO3BuREbMNlp9Y
4yGGswog2n6wFim6poNXJy9TJ0DRSGzxygZeKyyfcPW+U/jtKyFl0dvQv8WmuCsHUPcNw42FhaE8
uogYGd/IjPhydGxf1kFU96PntSfM/tFe4yOAaOC0By+GsNL3EMoQOqeVmxmi2UE7gQNWiuFHL73r
7ZwaOZ9/JvMfk7mLafm/l+nis/1/NzAGPv99ON9e+Fud9oN/wRoBq+n9ulrlpzod4gGE2LMPzOPX
VVC/FeofMin0UwzuCDNvCubvw3no4XlmCJ3C7yLBVuH/1l4V9AJ/KtMh1kYhagOBFCtVoLv+xe3S
dKpVuwr/VgB4dht+jqsmD8xS/vTJ3P4y7P+8vsX/wYX8IQLgnUDZ3Yw94KxYtYx1rH+21bCEtQH/
38y3UQTTWmPnX1hG63TVcSxFk37VYAFlDKpZy0u6TOeh6Z9iH61xj6xhPmOVadmMXnMyY5QWcBqw
j3jRPHOifltjNb7Oqu/zLmG407fgClPtQ48fmPt9eytdDhc4FlgeN/hDkWB1H1SxbgtFJKehs3mK
yE4uPIV7FTJXEDRiR4nZYXm5LiYskir+j73zWHIcO7vtq+gBLhTwZkqC3qRhJtNMEOkKwIE78Obp
70L1Lamqu9UKDf7BH1cDRUjqzmSSBHA+s/faNbNB6ZhPiuucPLP1FrzNZ0aiBXZ664KE7F7JhrOi
WLQJ6lwxIwQH4b0D6nfugyxk06I9stlOGYx2na/Pe3ManzvYgGsI40+eW33pofMaZiPVD3qvpHUQ
ZYzxrVUFBxvu3Rqg2Ja5QbWpo4pvqKoeCzvcxq4ZLlPs6hil3nOAEOsu4wC3O8BT6TzXVNrZfcEx
uNbonbUsm3dc4sZ0WV+NKdRPafjMQF5bR3us6vBUDFm7KLTx3inbDTvXLdpJjhS2UvyhRoyxETZr
pFsXhSnNkj7CXTreq9egYTQGvy3Z5dWtmSy4IHwXVRLfn9igXvzmjqhJVds6KV2LKiDHYVSirdGc
8az3zEpGxDx9pHFgaektkEaxNgzG4Zl5CsMgXDSaufE6Pttonv0qttX5svReWdRu8WLdF/k0+sZU
Xym3pmUIsG9hNOml7tudZiWdXxnqhwrMfhH24zWNY2szGNONPmAUrSPRwRasPrVU/9T7FM3MoG2L
1NvhJNcQ0PQbrFh3GfRl5iT20TGmfGmn+cck5HPk1NEys4sHpCsCmoKTbPvW2DhOv9SNYI3TAnQg
lxjmVbOPVozMy7dcFGG1nlylGZeWPVQcgkMSd4tRr4BVmn2Z+6rTrzW3n20V1bBPU0AG+qgt1QDl
oGl89qq3iy1t3U0ISQG8y+6aWMZs/ug1lbMinhUpgxb7idB3BkpIDR9VM8tk3fINAda9lihfrGEo
XRBVFFyN2H06ttZ1g1O294ue41zJLOYIfXd0K/RMCntoK05wWtRdPDOL+hdbOPVqCOUpjGlcazkg
+ppZnfVRCihpTb3t++YZFDXVucdwSKggTYtTYnPLGnlyiwzkkCrKbkrxaUVhFK2mYcRR18Wfdg9g
WvQUx0Or3QPP3QxF85UgzYIHgvnFls99tcLOvovMCoqqsh1t520Q6utkjcnSSSl1x/Q1NS9dX2ND
aveyCBepgjQor5b6GskqBQH7E5DZPad8pxvrSouQGE2y2xiOaNaqhhEu7MzXuYBuhqL3A4Xa3uzl
pmW4MRb0KYXAEDWaVyIAQMAowJof5iVy6JogUAo909J/9xj9lTgwP0U5LuZmj3UWIkHEfL+IE+q6
NsxgtMfbflw6C3MT7IdLcQIxslDe8ie5SnaYThbBAfkQc8ONsfvrx/jshvz1Ic7Lew7nDq5ECwvO
ry9fBa3VKXY73XbOmwx2Hisob3hViuy3igIA5Z/Tvv7sdXRVwx6qz4tC9XcTY+ahlhbDTL3VWK+h
NEjTLy/csWb6N6/z6+n328fJ58kZqBF/gcX91/dTotG2Wi1Sb23rUNk30kC1az799Wdm/tl39vOb
+d2LtJGq1jpwvttuXV/xyK+6rfrp0gYtilPGNba4r1b0b2t9+3h2/XRx7k7x+lqvgtWd2PeLLRKI
Y+PzL/rFmv+srn/9982Lgz98qTNRDToSBCciQ379EFK47+jwVO0Wv+k5uFNX6kl7Cveg0lEz++Ni
/6JthuW5XPdby1pmB5SJdxjx1gAVl9//lP/f8XwWy5WfvpM/ELb+kfT9x0Jy/sEfhSTBLibjFN0k
pIW1Ddfyj3kPmcZobXQ2KwT7sNnldvox8DHxWPPNkjoBpIZpzE9OaoOo+5lOSmXK7cx66D8Z+Hi/
3koosliy69ADWfLYCABtPE4/y6YifdZMtYZ+qooSKtZRQRcTpQvCwuoMAIcpkhuv1Y0EOW6A9zLu
22mtjaPmLKjjrBsX2uRNW5QKNs9B2VkAq08tBCq/1+v8wGgzu4wGi8x2MOWR7LPiAwJ4v9ezPrmY
GtttmAHgx5vB+QJAam4LE5msJiorwlrUFK/chEyilc5jAtpL+uh0k+ha709pbr3TzWvfFCOe0ArZ
cbv0orxYwHOgXHMBhEkbvIMukO6rIlsys09us6wNHnS2pPetVNLoogrkVOA7Ha2cdpOMOAjx17mU
RNSdoc4L0vADOOlY30ADwXhbjG8Wupm7quKgB59R6WxIJrtTz7YtQYFZINgfFTHBbS27xHGWw6z9
wVoNyZ1ucCxfk7Y1dmaXARvj1PAdPAqVBD7dSPzruRX5ald51qEDD/IGZczWsWvD3YCdg+NTKTtE
XmOcGwYswlrsxggNEyQ9837S6s7Z6p3FJN4RH41Io720A2M6WaJsdm7pxt39xN56PVZWPuFV4cIE
Tu/BvlY2/30i/Lb05Ub8163lbfr28VX98XGg81M/Hgf6vPSlBbFtzuHfbvofz4MZ5elCMzDwjlm/
iSV/PA8YGmu2MbeUHtWrOhOVfgyA4SZpMPq+lxh810AX/pMBsDcfG/+sFSzVoiPRNBc4MZMKpsC/
a/g6KGtmw4Vx0wxdsjSb5KnoaCuAla9SL7yBdSc+irjLqaCMB4Mwk2VnKMHFdfpvSqSuddsyF5NB
jACZHiuGPe4ic/DEQ5d7r8JEwz+Lw7hr83vu5ZDhZBFs+i44uRlydjBK760RX+xueoqyBgl/2rQL
XZrLoYiybeLIvSHrjN8YoST08jUCuguv5fcNz6aqb2HEt9i2hduKJXflqUm8R7RQEXCU8FPU7okK
7041h5uIkr1wWI+xgrrTecqsTRcOsDA7MGlIoNG/2wtHhz+Qpcm8KVqwsF4aZSt2bPOxQkhtq0WA
JLymqFdsl91VO0pjZSTBxk7SagE+wNsG0nwgSALFkue3MJRbyUqcAVq8jDM8GBqRDRD7ofWp09Xy
PhmeQpUB1lJne6drnlsVAqpENb+ghWP2OLLhtrs2WljD+NVB9+80Z+0YioNTILqGGmhoz1WWqZsy
caywUcbTVujOTR87Z4eGMyyqa6FY720Lbq5INkoy+XOvV9bajiyJO51HNXNa+97lEwpivP5KUZHi
kZ4r07u3Y/U9GSaMS0wLeKZqGBSc/jHTzRfhemdd0jw1XW6uZashJxmcA8OzB1xrtF2TekXEny7I
UDhMRgBUsTpL9lJhlXgoXdMvmHmvQ6c8SKM9DtFw3wDIV23luVXER+oJ9uzWiNJVMpKc0sJd6fg0
IBpdYFHHoBYA8aXJsReOX84oJ/ObJq0VMQb5Yj6vMHDWvm7GlyISiH7cgnbe2UwCBGyVF69Gbr8Y
zPOW+Ti8mW3P9aWVJZyGPGFzXRy1Lv0MuCK9ysiYIBYbLbX36Ju2hd18doo5j+mMB6sON2EcKwvW
4LeaijhXS7rBB4kSLSoFipgStWAbDOpH1UuuouFDmljzg77GsGJm+n1jy5Uns+2oZpW3qptc7oOw
D89wOyB9vMAIwcZpvGTMTwqCXrYRIRDIt8xHPHXR3dhX3i5I0mxROPWwMTvwmGrbm8h8NbEa24gF
oCK/WaJvvGOvEfRwF0SBGFfky5TTY/ddFWB1g8u+PgwS85IHBjt2JTSusSmKlYmqgP5mAtxjLoYc
TS8BA3gjhCDCxNuQc4IogVma3/RVuo8BCayyLtBWsjdeis4SK8pVGJsRl3TeN/YiGkjsAhazxJLn
EwE1XFyJBqKIopshmj51dhRxGbp+jIpCRU3RJhmyikFDoQth2p/jfVLHOQ+muWjQYkyq+xSjzYhc
C0cDag27aXYx6o0KRm6KmiON27WcN/gTOo9C1pKqotmbUR6eU7QgiWlf+HS1DYyMcy3Y1KMa8VCP
VAZu4zDo32vbvEJHes5UJ13oKE5ECs6iLKdpzUriaiGcWyCVIJXBIMRjlqwQlQduIEqPKmoW/l/g
AbFAnNZYL3KWvOilsqqM5BsZY49SOFdZxqe0Mt+rmugrNYNjinrGbgsVT2WEVxThB1UXyHcGCu+k
HN27qG/48pDhiKmHkOw8Zh2Loik1mqXVu9GqdPGZztteRD7YtlkAFw0308ith+X5XEcAreZdcczS
WLA8blki03EdEGgfk3m7TJHaLNIeC0jQZR521SxdtI7LzAS2wipgRa1EExpsrxTrpvVgZpFZlM8b
beDq41ZnyT2FwZsyZseI5bcyb8Fhrnwo8158RDePF7vfytrMoR5Q5Dlh+YH/lwlhpcola+vH2LUP
kZQf8YQCKdTV7GHIq62S68wZ24zQCL6N1AnWCDsYXQUuj41+52Qy8AO73UrB6SCbD0/vwUFnKdda
nbU9K381ZGtYqTODE4t8vjJtr17XARkur3rGguR/JtDhfx+FeG7y/3VFtEr/5hfV22fxx6Jo/sEf
RRFLcQRtMBkNk+nir+YS7e9EgyFD48TVcHdQr/yzKJoFcoDPdaqf753QT0URMxcTfwkMQKopWqv/
oCiiv/p9UeTye3i6qdRDSPK03/XaZRgMlqJ1ECPN4trPyLgOdpzCemDhiLq6JbkNsBwDxWfLlA0A
W07gxuFgdjNwT7XS5dwGYKIIqqy4e80nfNOOX2F4W0ry81CPQVbK5owlBsfVsjHbYlUGHutruD54
pyfydJl54tqIMJo4jx7cPCZv+dqeYCEivd0zNAl5VjkggIenYL5hOyEvVRHBKlRib6up4Qdy4YfB
UA9K1p4LNUJEPWP81ErQElg8nFH7HtM+3owz9K+A/ofl/iVo9D0nU032FQdAF6brsCRXDPKquoCl
9G5jYtk2M1iwImdr7RXDl13YX47rCR+aUOvX8Ai9wXjO9SLfyxaxF2mlb3oX3UUzxJA/88PLs5vE
AjxjdM5SieyCAw8f3UpXtU2CimdjEXgAHGYdFkBUApal9FdfdqqthjkcoUjlhgLi06n6+95Owi2O
FMrOziLoqp8Q8cUKYjVlQAHNdjQO9WtMFEM3ZzKggCjQgFMS5LIH6UR0Q9r1O8NuXkl2ItrGIN2h
xeIzzXkPrjpe3VT07u1QY6uQzYDMK2Vs6B0jztZpPmQDcAarWrREoQ0AdswpHTZZDNSC3aG3k/NR
bST6IxgYHpbzMa4jaJrCxHiZVFbh2cLz2ofWTsMzZk65n74XA5GSbKVVrHqh3muY+RnEusAJoDqw
Ro+vM+0BohH1haHgMDdC4vykLQffKoghVJTiNhRBgDwCa6KtPjgK1qZegOVsWR5RzJhtzkeM1SgQ
w5O04k/HyI6BItBtz5VQXzXZwlHaN3R2ePpN40XR01dWEIjzKKRGzyxwSomtrsKKmGutgaJLmauv
cnLXY5746NtAgyZHO3DIgqRkI4Pykk35NxDU7or4PXthzwWeTEKiUKn5NGo/kOXrkVowjZrjSG0I
QuS1oVZkkYI4jSOspIpEyvY4UFWOPScT2oprmFFwRlXwQAbhoRF8QlIPzbUxl6cJdWpOvRpQt8Ju
mRZpmIKqVlg7kDn3XlPl9pU4h7Ja68EMVXW6G6T298ZcGGdBfFdRKRPGsDRdKNjgTFu7P0gq6nBs
rvNKB7014DPrJqLyNqjApcryH83ks9W67kaECnzvGHsvjzlEnqWC32umMwXk6C27uHquqPwNrzsl
hr6LaArauTvoCKpalka/k3PnwAULU01J7wGPvcu5y3DmfmOy3c0czLQCJeSugrkrQTmTcTJjHp47
FiEzQdqZXA41wMu5s5mfuDyltGKV0PYUTDqoSBp13dISoZ9BX4ObVuUj4Jl0Z4z2SbTehzV3U9Kx
H3XbPBlmKZbG3HF1o8QhNT/iqmgiakW96LRn6dyn6XPHVkO58zQr3WZAMrS5qwvn/s7memun8KKp
5rszd4Ch7p7IcAg2Yagoa3ac9+zFKwhvdI6j7rzr2DxW2txVmlTL49xnZrFuztbhdQKMqWqm4CJK
RK1xpT3kc5/a4h//kJFytuceluwB0mDipz7qbiov2maW+21iTbBq4MBAOVOhzpWSoN3aUrCe11P2
lIHzC0+THo4L5BtzJWwd8A88eDPBsppZlkSVvhZT7MFf6QzqsOmZ8o840K5+txt48FNb3Zpxeo7Q
NiGpfh2AZmozPdPIq3066askBMTdNtYdsMxT65FFaM/sTQGE0wXGqSqY3aqZz2n1aCthgDwYoDvj
AIcjKE9Bl4JX350JX9MzhohTXY7XzOrvZC9uuR74EACDZgBCJwv9XzPz8joVrdVMER08dDRgRTW7
3lNUHkx1eMx1nIumdWuDIZUexZnLfxlmQqmT2qyuLKilno3oNZ5JprmqNzQXtt/HcpsDO61m6qmT
1Tx2bHJ1ZiKqNbNRAaRCSZViN83cVCUh5k7MJNWZqQpTUd9BQot9byauFjN7NVErWu2ZxxoOrFJn
Qut/51Tf51SzdetfV2WXt/xvxzau/3bzHsMZ+GNtNv/4T7UZukIKKU9nbMp86p8DbB1NA2Ntg9JI
RY4zh2z9qM2sv4PD4DHGP3ARRMD7/EdtZv4dfxc/xqLI+17t/Ue12R8qM48qj6Wnzu9jIP67cVWl
G3ABbCe8CVFBgbyPzejfLJuYB/3yGggiwaC6/CLEFoStfy9Bf56RZzxxPZmOA0HjcOei1lsPui6q
tZMNpwEGIUFIZP5tiKMhn0KRFfqoxrUucJvguLiMMk5O5Xj1DnxneWorhbDbrEW2d7JtRSUPt27H
0FdRAE0oqtVVIXtVbpOIRNQK0uBmGMh+rQogDL1ma5sqMssVLB3WhLaEXdrZt6Q7hxuZMLBv2VFv
YiVM9VXInlPZ5BkQ7kteTdE3xBjd2tBi4JVArJHXM/k1dbH0oFipK03S0q0iM1ONC4VHAqC4HMq7
Biwn0anTelI0ZAdD9GxIclBBPdA24V5OPHaXXbnpkJP1ra0tnEY5Y1m7WonxwJr6UiXTMcy7q20R
a+baJU+q2DyWlUlsbnmMIrHTwjDZIaeOfRg+h57xvatmHHthgRp/gEnMJGMqxn1lqS9SiHGZpg5W
NaiBVWyLrZdHx3ZQ3yEhQNmTzLPMAEaZm2pfUVqk/uh5q7Eg2qDxeGCFppGtm2GwNrkRTAeQZIcu
UDZDliC5isMN7IPKJy1wGU4S72x8ynrLWAWcdIswkptpqnZBFd9HZKhtRA42JFSSXTXNskdqg7we
WApG2QX90SEyOGSVUbU/yLSsl2PFGlzV7fVApCFiQgzLJsFmGGJ9BiW7QZan3kTsopFnsEjIHWUJ
BBkrFNbFMkeq5sFst+CtLSCBno6uj2ewOjan0gZfFHrVrksG0jtS9Quz+KfGwbapyMI9GF6GOS5K
rPhO5m7ma4MZW0sNDT/tlrL3EqFtalf9SJQILIxybjTnsYmUObGBwGVU80GCV9wgUDpz77ocYbrQ
fVEFq1pT0FD0SCdSfeP2je6XBh+8lTvbWu2esCFSFsKCYgT2yobkVKgN1TfCCCtVbyd+aaflZONS
/ZoaGFTlTa+1L0UZdoU5HQ3cwZ5zBUtZuNMeKZ27tgQ5Z471WE7aIsKJ3qHhbBu3OZhZcrT08TYM
hLaEhGsvsP28YDB4MRiXszjSjpxh0EjMG0yAIyiUZTS1hM6RCYny8sEd6kcz6RBFJJTMUXhrdlJf
qDGc96yLiQ5Jdux80sXUaVepRA+QsR4BVjO+69dOKL/pzrAvPWVP2vSEE9vel8LbpDaWZ9epUT1p
RGq3ZnNv9mLP+ztYCB4MJptMA9N44RVVtNYNKc6ZOSTbQcn0lwL/5XONUb1CYTMGaDyD5H4A9bYY
4E+umGJX2FqayC8VcpZEOut48YMvSp20qZ7b4thRxp+B26AtTOHt18tW2vMdBsYBZoHXdCu3DNx3
ykZgXZZ9VWrdXnW1fSZtGw9TKgnFMz3wNJHBFHRs0wPGSwpc3bpvVEjJDKNKP+yku9A0cQB9eclk
Aq23h/jfyRqfiGc+2/ZF8M37FOuT7wx1DlcmtU+BjPiwJxlTtBTvZkgGi01fxC1HXrlpPaihTPgc
x2QTjuFRMGlCLBPcJU3x3g7eUhCg4grMZ4GiXnCWvBiGfMUzvILzsO1E840+8Ca1JrEOAzD7GGVe
IIisWZS9zpHGdHP0fYBPEaAxjWsICFiI2X8ZQPlBfyUQqYtS/8zsZtjI0vJF3r3QLG4oeiQcCOKE
GobcFV9z0tMnOE9aXl8JQX6yNBQVZP5chnQ85l6/bUqNG7wXT2E07uKeW3QYTh0G5DALiL1K7fum
mW6s2n4ZIutcsA5wze6pB6Ko9WDynalbE7PNwwKdG98Gk8/kdSpjpuvC3qAitRZDWsaMO+NdWA8k
rhg5iT6WfdEmvrU61VAf5M4D5q19Q0sLrlRFpxYdygB8s4KtL46nZluI8MkaSww4arW1MmPF4wYB
2nAyct59FjlHt3W2FRGxGpNLDzZswHxSugm1LEYmBHk1qQuIZpM3xcUv3MfbNmUeWbbBm9okez5r
P54GPDy6R6s53tVS5c80671QlW1l2a+BKnfdmJKr3l2A1Pusq6c1vAdI9XF0y77mW6Ays0Ob+6qa
qIv0KT4xY9mUQfmQ5c3kJ3mx7cKu3LpeNh7xvgPS0QEsxK92UBzUCqcBiTzNOs9UbVGYZn+L7jFa
oOs3YChUz7kakRavujdwbQq2FGV5qDUnXDbRkK1Z5X3EhGn4JTPD517aXC9EW69G6EgLg7r+c2hi
x9cNcmn9ftRPhIQH336qz/5EiPnrAGouQZABeDoremK6XFaBlCgfb/dxHtZkpv4fLbHQAOaBchbi
Eetj4r2b1m87238p3vl3L0HF9vNLjFzFdtLyEiomadu5aeXNIG7/+m2wpvxpufjjbdizqRSomWX8
7m3obOey3ovDG5XZiuvcTGCRhweE7H/9MqxX//AyFkWria1Wx8PKpPHntxLCRDacpAtv2mxalQIo
Bun2SvnYmrd9pzEHqWhh/suc+H8Aob9sJdaQmPM/6SDUnzsIsnP5zpGsONg+1NlI/I+VN/AIrE4M
cG2Vf2PWufzoIJy/87/B3wGq+O6H4hf+WHlbpFdCyXUsR+c+ZWf+n3QQjqP/crmw8ubGQv9iuY7G
hckN9uvlkmSg1ocmcM6wwfZhU3b5qen10V6KrJOSlPu4ZX/T1/Uyi7JwuBbeHLxYeDms7kZEL4NR
X7KoHP2ozpNl37QboCs+skeKOTXXIaWkLLY88Q6uIqbnt+IVZmOyuUnQJk6hQZaqcORn94QHPPVt
oSV3DfT+C2D3rUcKV+7gnUoZCoRqrJyTIHd5uHYloHolfBmx9N0GQRTbt1E6OrdW7qJtNeHHGQsb
tG7hW/gm8wfbUYx1wMijX9Vs0ZqbUqmj+Noy02Ozn/RPie5FRCUkxTaOqLKZ5lWnXpj7vrXurZAj
IXDyqzrNZlP430UkP/SZ1WtH7TsJ9vGywhAKP+o9msPVaVzOdqs/2cNwbSPqTYPZstIpvpIxTQhn
RK0ppea7IzutOnfMlWZGTxBRXUrK5FUPrUviwj8QkkNZiT91z3nIWvOLxz+mm4wPxXKbO8dIGKOB
iN2yaYPuTd3wOhqkwSecQeqEJLaclc1Z6j6UqaavixwnaW40ymIQ+ha/Jd1TV/lZH++MiDPC4rAD
0e5QxeE5XemiTJlBjIgO9Ltg3jZNRgQHx9S3RYKuV3eTfumNg74bu7k5atVPtfB8t62zpYI5Cvxr
vcly7y2MigOOzUONm2cZu3Dgjcm7OAE4dA+75xAon+zn1qk67MguPocVy0GSIHxZTfaWA44HWCC/
NQVCWMy/VL1K9tFH3gBcKH/mkm4Wuof2x563CFxed5y4DVUB7ldLKIygg9vUQ7UekmkTRtp9IBUk
ggznFupQWRQMGOa43qgDi+dW4Lopwmbf8A02dbvGGh5vBovC3lZLPOW5ucu68WYorSetbs5eEz8I
KuQlDIlrFkb30WyElyoYktBWdsx/jEUXVfejEzyAbLmbypZbBBuzj6MWvUIcE8NXBbdtMG3HNFAg
UykfVakggzJlshkt5l2T5qXLvoVCBSkFUpVq+po5TnvcsTdiLMZ1QaDgUra5scy6tEEP0B8hKH8S
toolFpdZVccnW0gAVqpzIJ50RgCQWz+CptS4AXxTE2/sG/v16DU3XmU+d0hZltzqKELGzF5GrfEt
G9tpkcjivp3ksqEgmub4VMcZpoWZF5jUku5R76d8q5hcncE8Ha7T+Csd9Yk5m/Ns9UwEkIzvugIL
eFrpOyYkho/a7Bh1CoxfE02+mpnmui/FTRzaJHcn91naneHLIK+LHLgKIlnFmXerh3m5tlNWEz3r
dTQP5P2Vuf3AWr9bqpX6LdDNV9VIP1TD2pW9wcgwhFUQKPqXWSvXWjjeMsuya0bTttK99jKOjbaJ
7eylGM2DhfvK6mj9InzajjnYd4ZwpQMbU0V6FpXvcBtIsLLQys0BXq3FIEOZszMTFjXd9F4Z+kvp
esbWU/EvSs+5ndqOpMomwvhYEWVhw2tceNGIKTqod6rTXKK8gXUv1RTxQzGyYWb8QEjJq7TNS5PR
C/eRC0CnDXq/alHsCylzIqHUcwfdeYWI/qub0NhgBzwJoXd+FxTONklyj5xzEzVji286U1n+kFjB
7pk7WasJ+laD3jrHgxUvuroccJjokW/o5X2fMwsdXZje2gTzIM4HvqeY1Ctj9GNLjP4oInnKnH43
ZsFrlg8ATxXs+7qDZmYwuFoZAn3YTs5CJxDTysox45nGuLXzqtwV0lwnAMB9jHfp2gXvsuB5OG1y
Ub5WrrXOK4W0AZz1TP/vIiW2MebFHklLs9G+yZg+Kegc2ZcEd3auy7VTarsyNI5A3qCWZ8LdsHIj
mY30nGUALGkfte1nUqpijUPO2OsSzZYFrxnMYphvozzHlN5nfDf9qKwhAcDxYU+AqxXXptV0OyOj
20QyBuXS6g5h6u0Dbzoo8ZT5rsaqJEimuyoLCMV0Lq7CHGiqWRpFLTR0Vgm3so0ech2fB27IdI2q
MV60kVJhD24+7BIEX2ab7mZw8QuNGow8griwSKbRbRNjbwom1U/Qm22knA7Qao9EufloHm47uG0r
Q0Dr0Vl3LmKnOnuW+HAB2Kd1wG7TgdbBgM0iB88iN8sdcQ+HqPwnzKqq2l+1NnkrEuU2reJLQm4b
sxnVXokKPkdlyq8UGGiYqea6MUxQtrHJryQrxe9TplAxi5yujc+B1+Jw1tTO78sqWBZBcmDEom7F
IMJrGaXErwUvNnuZhc6t66TZtyprXixDQfXTnOV380mTfQRQRFaahxPEy9IrzkkUPjGKL11R7iZV
qr6SxickTQHxQckhhfG3nGc4FiqKJbTGL0Q7W6cNjm4wZszMxj0MVzghiTLjSp6yEaBHrsPIGrOM
nDiCTINqj+jrYKXZpyLdb9i324XNMjYvlW1Qiy+8Vusae/CmduSqlvzTvlCuqlCPU3jIKKir1oE1
nrx5rXiPah6+HQhFUTk74oHmq8YNl7Vd7ae6ZwnEQCbOWPoJtsjDxPUcBzobNp24V6JTF7jOLrEI
+Zd5gHcZuRdVijuaOHko/m68oXJ7pQLbxQPB31Q6WIRszJ8QQVoZ39iluwi8/kkz+OVyoHsLxCFh
Ab4xsuYDCtZT6ACekHC/VSeDfZ5fNYMDz2NkakUaZEPXOGPkeaz6ns1WTdy9IstbGXtH8r8xrdnl
PQbznkW/pWHCyjZQmFhx6XMWMVoxFhUAQ7IsxG7KrYOwlodFxTikK3lrbg7NmLqTcWQM1hD1S25W
O8eI9v0ovkWaFa/D3r0ZNbEppk2NAkZnbDfmTOmOrpI8RGlHp26a2ZIh+0aImVPjUMgY07vh9giP
wnfXjo+m3gKjDeC31LJ8I9OP7Be9FxYHcVcduH0ewpENPaugqyYd4C/wTepq5W6NMN3qpDF1TeIH
riHvchvDOVSu2AbWblqa8hR1RaEiY87rao/Fqs8Y4vWd20EJ65TxbuTbyVUrVnwzwKwTAhOLfddL
gOqwUBwSZo+srzaTF7IbLJS14giY0onSr2Oz8BndtX7QFc/knUyr3O1Khk2htkp18WhU+aU37WGN
eeZbKaonM0axB4mDdwoJDUnTLnLMN0Lbb4fYA4XroFeL4gZSjMMdkiTMbK253wPFMXCcYNhNVA62
miON72/+7qjNWw+WsRcxkdbMRSpNf2icc9fEyN6d4wwbXeS1eNNIC64980jmPNVNId85W8jgSmGw
5O5jHcfmvmnVrynocoSFKukPnbvFEH4LRIXM3ghoMK3Egrqm9+0g/6z6bGuQZwsQpQDAVdtHs0zv
dYaQeUOUhZUV/Zbn7tHrcaWNFocdCU/btuOOFjovaFU4Usx0phrgkqsnG7m72EidatfTktekJGE6
ukmYowlrBM9ggG8g98lzu7MCDRK1Q3OTWeKTNDFmRBqBIGN8LkL1bHnjzEY4mzrqs2yhTKVfVUq4
R276lPThronil8ZpHiVjS8Yg6sqtNoPtXDChLal7z2Opv8aIY71a4cmYhbtpdKadaNNX/sDHaN4S
gt0LVhHLkQNPhVczK7qnbOrCRVGKA3ycwq87UYC1nE59NxLIYGvPslOxiSV3fZ+/JdIlZKRuZsHY
S2oVx9iInrIeOcX3IcJ/XS0Gk5+/3g368Vf4Jz39/IP/2Araf1ddjYcO0iywvjNH5EdPj62FnoMC
j3b+t/3e/2XvvJbkNtJu+yrnBaBAwiVwWyhv2lveIJpkE94kPPD0/0JLlChqNBM615qYmBhXXRaJ
z+y99u89PZ5q/u+UQZIcHOxwP2wFjV/AC0MXJrAGWj65Of+kp8eK/VNPj5IM/65rmsi1mBToP02z
4iSJQJu35oVLGE0mKWIYT3ziqdLFujxUaDD6WYJTsPTKGEEAT2is0F+HCELPxE/KtzQqfLNVoETU
p0RmQtzA3cIDmaB1wC3bF951XrbzMTS7LD6odjIeSPjR7INodBC6nqdxiQVmQMaDQ+4rAX2JuI8l
qKTTHM5Zg+opdIZLbSLruF0CsXs4Ie8Ag0gaZeIAs91Cxr7TF8eG92HeaNXUHiwSqtA/zcgpN4E+
dYC1JIsQqSL9ZHRecKoV6we/wFW8iaAZ+rWC5NrpU3yy2wloRzCDik28wHvrmgLukaUC5KmgambO
sqi7iQz7bZqKTzINvyQOVS1Od2LeHfu9ahFdeaVA0J4r6+vQAlLXC99QIYv8Wbe3bap1nwa4bKve
0InHGtJO+K43sHvj1vMsNNo+D7T9lzF2+n1jFqhctCA6w5xB3S9qZOqqGzHiVGpHYnkJDh93TJ4W
I8uwCjNuTQ/m4Rbgy8UtTV/QDE1AZ5Gf3I64RTuo5WWy7fnA2QhqEqg5lqFoJ2Om/XVIxrk5uYlf
NkgvJLKkyvXeQZtoO7ef9wyBrk38NrspQLytNYvHL6gZblvjixVZwRotWb+Sjr0rGRexeRoZD9fD
VWqOLOKiCD863OF1bUsb0FRlXOthmt6DyzHvCscp3hPdqo+5iovnpCeXHF3z14KN8enfU+tD0bCA
kv7+1Npl70XxVx3D8qDvJxZiBdeGC47bjhCOjy3+9xPLMH7htLL4J1QFg6PjjykkwlRdh7H/XWT6
w4mFJ8c1+Fv8i9A5sP4R0EE4P59YtmXTkTn8TReRxfLn/jS0RkGA36RzvWsjr8nCs8Vc7eqP1AVT
KyJjY0d5E3xCtFXfAh4no4HdZOHP5DY4iXeuCy+lyE0/pyitpoXHY7ThdrIspDWVmY1LQsV8KEZT
bbreu2W49o30vNiHdEMRb+w0ou3ChgWhrXbs33Yu0Xdjpe21OPts12QtyqQ8h8lwmy5peU5bQxh1
9lI39jpDOthtg0/iooYgaNoBrrgy6NtiA6D5EJHGx/Gzn5Z8vkITn1norUbV24eaJWdlycNcD1+o
4i5kZmTYNnhvrx42jnZJAET1+F5P7jpdsgETeOjUcGz+Z9Rh+MY5fHqxxyh46pdswWFJGUxNrd5U
S/Ig0hTeLXD3dVPOz8w5L+4scqYoLADrJb/QYJAZWaSDmlAo6yXjUNQh2z9iD13iDxHpsru08CuJ
snvN2UXDaWdWUV6PS3ailgf2Nl/yFMmPPWCywYcTY9YRWPDXOsgm8g9JYmTZaYKoynOf4Fw89tNt
bqfI7sm1Itng65T3Ln5F2FR1GaAuxbZuhtMbqSsQn4T41hraURAMOYC8TZakyGDJjOw/0iMHciTL
JVFyAgZEVd9C6cvec60YXvg+T6C75ty5WHHjE5VESGFyJDL7flhSK2vCW5o1TnXF8WsUHcV3nIJz
rLKsjAg0wjmlrkagTYescS3q1D7axa4Lt4BAF+/CjS46yrTsdySZlwc+l0rfWDrB51HgevcBeY2e
n02CrZ8qGWL29mTtuNFZ2TrrxnAnoOMhXC5q4yyzrHt2S8fdE0Kvv/x7HH4chwss9u+Pw+v6rQjf
/3oeLo/6fh5SpjGORzaF3HrJBfphKyNcNPeIqWycwbaN8+GP89D8xQNHy2aGwSTguT8bk/Erc35x
xv5zwM1/quDMxfiMNdozLFMsgRM/LvEo+4FZST241J4gIXfOUo9pLQWONir9VMhm6YyXAshKomMc
TK9uiGy9wvpqLh5YbrwDI/EoI09ImTq+vUpVmzFh0uAbTlQ+wYnDSgsOHVttsThstQ+z7cCE6o0Q
nPidhi5gTLFYcu2GYqQYWQWB6txGXZwowtwag994bfVbTGeec5wkilEvnRjWdxgD0rji/EpsSCEj
wcqaG7K0SPHo2XEAD8WAZ+kKNq3TEh9oJt4267n+mgmZaVSHx6wT19Vcnhpbv8zzcCvMmUExnkJT
OxPrhmoqOoxouWCRYAGYhWZT1/Td2mis6FxZzk6vtJsEm81dFbinFn2274QQcUOvEeeCODHf0IZ0
MzmoL2ogGGtKr+uxba61dHRXQ2jpqwmkNLjKYROFmDdWGVrWyo/Nqf6Wmu19nOn3eNRzm8OlLW40
hXTVtLAxqGobVk70wtjBl9RoAeqAS28hejLL6Bu5teQHVhJ1f+muOgwC3mTmxMXYw7Zy2VtINRv0
nPmuULzditXZuJjBglk6a0MU0XXPcHQfV4D30P6h5dJKgoNt4qMGnwk10hSP8q4y0PDG2gUlxBab
OGnHXWU9NkCBQJTFq3rKcAplbOhgDgMnmVFQV7J6tclYRb6neTHKOoOetpnq5J8u2rng4AAAEnLg
ZLjOTzSORI8GPfWa5MrQo2prZoPxFk3LjBtC2W/ixX+b2AVM+ffn377LybX+2v71BFwe9/0EBPG1
7J2BHvDzBaLxQw9rWByOdKEmHu3fDsff9tJwvKzl/NNJKPhofGmKf9tLk4SACBXBwR/b7H/gOuLv
/CBiwGqE5NRFeioQfxhYon7aSrcd2cSytIebTj9yySTTXdn8j1/ir5ywP9zeC0lFR7oGQBCAsANP
5SdBhkBYniRpU92YAzStZmXZDfycyDQK8ybSa0X9UzpjejuXseNeRVEkX6iQjPTW1e3Jj/R8NAg3
qfxmLA8qGs8g9zaOGW/mmKOtAzIwTdlNYGvrrNQOU+MRulzetzpt9BRxuCh5N8bNPpjoz6J83EKI
EGvbUkeI/9eam37OJkRFxKJ3VXUgHvqFhokhbBxdh22zcY3sIKNGrcRYf2MivauyeFhnVGy7WFmd
r0HyWYFV3KueyWAHfF+6e2U2aASLl9DRD7rHxW6K6qjG4j1rcOoGmDgxwrwHSJQwb1XtqtQ5DlVT
b0kQOwetHNZusajxB7rJSuqfF1WbaaEOElbx0IvwGBjGYz1S3Rhx+5xC7/SjafiCe/Q4WXWxVUl1
KaJxWHtKmkT1BLYflPV9HROQLq2y3YSTecF7jOKrMW+zgRS1ue9etMQkckaOG/oXQtSN9lsiFTuz
2IB2qcqborROckBVWxHJuspShdNZH6nnWqraMemKTVzBsxC9m7J5n59FXrLzZt1ddtqdPWj4W4zs
Ycg9sjXd9FVDoLsyhurgkYt0lbWD8PEgHQFdY18WyloJNzyH7RczKbcewUeMVAzfGhVz9ax4DuYe
vLJC2VqG4li7Xb1uexzX0v5SxYhih4lYC2l9cZscrmgSf3Nzhp6h5c5r1XoPGMy+WTFiWRW/x4rV
LqCLfWQA4BDEFpVhftMbzWeRJLpfWyzzAb8dsjhlj9u3W/yiuNNMeE5W0w4bS9M93y66G1wVj33Y
kc+etQSTRfWiOLgPxxZPrAw7H7vzJrOI0e7pAOalOvXc5N4gMg0/CoNsr39OSXIAe+B8SxLvky3S
JSsUApUJPXLFGCO9FDmW2TCJK59z5TGc1D0+6eoYpSbydAlsuowGfqzjJ7zw/HoGRcjrwOch5fya
OgE0MvqXPineQaM4277WH9MwY7pM/OiokbbThy1bR+1bq7mvGsj9lZNGvjQFWpIxwOlDtL1TGpvW
nNJDZSwcq8GqFVRbPg0PIJ56sMMBB7eT8iv3svQxhVBxsGd0Xo45PChlUINX7znuwnjhTWdl9VW0
arkpxyH+FHag6UAqYx0nz4iXyVYPMvY8T4W3GXdTNCXnHPlnrGl3dZd4S6eFPHEdwL5d90QHa5IK
qvaq0m8ytIss4vzQrGCEmReLREl6UY0+tPErrs0lqPaqKeULhu73WB/VimMNrAFE1Tyr/D6aTrTz
b9rYnZhDkQLcvYYdVnzOnLu6EBuyc+9KYR4God2RdL92tPAJZfBr49rocfSTNyDzle7NlEeXuWm3
AGH9wJu+MmJHLC2Tddq06YYAdz8l01Y2NbhtdrN11V9J+BC1gnNKMusabcuAtoflSuJqbNi166mt
n/LYS+EPNO9Ni7ZXjc9a8253/BJ7R25NK5EYl8nkQy0aDDTxSTdp2kbvJ/kkQyJFlKoNPwmJMGbs
1VaMmLCdlxbxuLPayL4IibhKOLdWaWlViJTt2dy1EyWdm9GXumb+lKpmW7fDyzBkT43SXnERmrd6
Z8833PDUts7UmzKAhdfm1zFwr9U8XXngPdZFzu7RZlO7jlXv+lqSxdt8zr0HK3enS5hH93EYfkYj
oi3DvexUM96n2W7BlxWoA6w2ei0MvsUheohj0gk8Uzt2ffPSiXJmOYz2PliQdESzNKs+5t7jeyln
QKdlzrrpqvlaa13twUlYtE+TNywmBpYftdU8B17Tra1W5nuuZnetsnZtOX2/70U77NgnloSYltNu
QMpJQUpsaNiis2BxaqNP98SeXv6GuLI7yuNlpbBjCEeDrgVf4hLlz+yIB0YNL7UY70O7dg6e1b2U
ixjUCufg6oda5D+IOemsfrizf9x0MawwOneY9Uh7GVL92NkgDK8M11DdTekOLBHJknlweNU205Lk
f2HM/lxFLM/FpMsRpqDBkgzCl6nTD8LRpinH1hia4cZF1Z0+qWkbaU///e38r6dY/vcfnoLkmywb
umy4qbgwCQJCnP/Jqu7/P57EY9AmqdiEYfz0JE1EulxSDMONWT+o8jxqV1p/+O9P8devZfEr/fEU
i3j1h/exEItDYY3DjUU8iNrOEJqoQgr5lkz/45noun/6Afz5mZZX8sMzZVFvoy7nzahpXokCgZFx
7HLWXZs+P85gg//7G/tJdfvxG4AcBMwHlxabmeXl/PB0xAqMc92KgQnQi6CVktDVo9OUv3w8zb+9
hmD08Pe9xiGv3uv4LfsPvQaP+95rLBS4hf2IyfVjwsx1+H36LJxfBI2y5DAwUbVaPOq7BpYGhQ0W
izaPB36wnb73Gqbxi7MY31i+0CWgkPlHGlgGNH/6SbLCA1FnG1j4OJWWtuOnc0JGqi5G4rEwtKHL
3Aro7PJSSaC83/R5LmxKrVZvububaOhm0DdpOhSUywknmGOld4HBZtvFQ7uvRS+nFcLsLyGZg37p
BW8QgO/TIM1J1oACq2bH2Jo21ggaqeZSOs63qAIpkubEP6JCjxmwdOZGNnG9aZ1Bsm0S9pkckfyg
FVlLuY+ya/JJsIn8hISsK/jYiAwRbKA2TE/4Uot1Uw3TFuYw/g6F0ymDrusD80U/yZoHUvt0xA91
dss2OOUxqPBU81j3MFx3qa0dEOYpLIPRk+jBWm7DihoPy5Ss1mrkjkgiELBXS3vNOL0rZyyOMuoe
hBPpFDuoGlBPVAxaJu2qTpwvQ8GNXkGb2hGA+W1Okk9IJPBEW73ID0T7BIxrkukRZVCAlC+6hGQt
H7ooeW/D2Xil7EU1iY6XMUam1rLJMHMzPcWP5hXeCXO42DiDrh2tatTPdly0u5gV3iok8OVcS3nr
ZmFyTy14GKLpQavsYlVaBRkwbnkrHSRewIlJT9YtclBLurg5Ra1i6QMz+inVziLq8P5PdWS/9lWI
PFU301MbTKLFxPKBCpzr2qmvI767nh1nfJkENftKC0WAvDLhL3k+4XIkFLueQqP7sSKtlm2pZiyL
U6NP52O9bFPjj8VqObvISDw+hODaQ1GCoiP1vvXCS88G4loR5vO91XOfXv97en1Mipexxn85vYrp
P2z6l8f8fnLZvziMfLHsWu5P6n3mxAu60jDxAEvcvBwa308uhssOazbpSKa4v7qG/1DvS5d5gwsC
/WPR/w/3Zsu47I8Rhk054Hnm8hoITGNgbP50MzWjrBJhL9urPHWibVlm8Xosc3rJ28noZwRTsRfB
gttYUa9HeMr7dNjYojUEHnNjKki7mGIzO7FhV9M1bA/2tysXRFAN3WJ0VEd5nUXmDiAkPoGVZWUx
gdZaQAriWgu8svg01w7GEtl1Xl2spV711mm07YHYI0HCX/MG4bGeZ9gB+PcQUo117zU04lG9S5rK
u0RKjw7hWDsrNQzWoyrJkXcx6KuuXMIK0oTRghr6UzyhdEZyX1zJLO3uhJMOn/XCtrFOJVH4mZ3y
uM0aPT/HTlrSypbBVaKRzwBOI9ozs2ef7Q7mdCukERwQ9w2XtCD4UUAPWNfIy/EcNqzYDaN+c2NW
RlmLqsyP0CYeIjtpH4xBoUKLCvsLgW/ero+ygQkAGHfIB7tMs8w7d9azzbjo77NOHy3UoWzD7LZF
1O3o01Wt18k2BVy/tSqBGArMnRgYv5if+ZravQp0/P2iYkQLM834ZM7VfBPNc1KsUqMzPqf0iKdO
NeFhYnX1wuzXXFMoohGtaFxmN++uuy79wkdaHBSj13uB3S3zEx3IszUgoMX5GF1NeRquwwlzpB03
zc7zMmKhZs+9wldn73NV0JFMee1HLOG+ID7LziAXmqcuL7tt4yUFMJ/YuJimyBDER02KZDxgrDIq
55aBgLbl7GtuzNis1qwPyhOS0v7UNOkRZeYMx1sjOsSexm+DFWV7t8rD41jGFq8tkdolJt4GdUoD
n76c0Ke3LUe4mgjFqUI06xYsm9Vo11Rws+EFx6zWnCfGGs+wfIyzobnVNS8/2GpY8i5NaSBdrWv9
epojWORk0x/CGDViCSGGdrua7qLaHdZ9M6jNFHfjJuznYNsAHAr/PVl/dUYt09K/P1kfOkKN8+L9
r3Xh8rjfT1fvFyw+9GWOIWz3A6HwvS6EFIpFTjgYliwOuYXJ8P10dZe6kFNXGL8Orqnmvp+uMIWZ
ZINX8kAHL7m8/0RH5dh/rgvpH3WLGEqTTQVxUBSGP23hRG/jMirz/BpyyJEuk6oF/NBIlsoMEH/b
o7ggZzy7WEvgCgqvvc4vNUZdGHXaociYAJDQUuAU70hsIe3hLSXBJWgW3WR7GWdxDkl4mSPCBtMl
9CWS4WtDCky/xME45MJgBAO38xEVs4TGzECZTvkSJJOlUcOElnCZkpSZ7te4mfyGrAomd0sUzSw1
vyabBgn41iSrJhrLazbQhLp7ycuwxNmU5Nq4tmJn1qVylS6hN51TklJEDI49RqACUej7cQ9V357c
c9vKg0l6jjmN75M1X8AFfc6C5mGY+hIPdrgryd1xmMWsSpJ4bBJ5siWax4vsRxOL41y2n4bI2TY9
qrOaW8Nq8NwbggZOWV5y40mvIOdvK00EfrdEAaE501ai1p69JSaonKu1Tm5QVKOOn0kSMpdIoWIB
jeWMa7bREjhERPinEZGzTRKR1eH/qdQtCuttTlLRJMW1tL1tZ453SDFwQCV40cg2MgUJ65n20lvB
MyS1rdN1YIl64pDMLP8ck49ULUFJ+RKZJMbkagK7vFJpd6uPwYhfjIAlZR2caUlcQvcNqGCJYQrJ
YwqWYKZ8iWiauv6e8eCGfx9v4yXGqSXPqeNlBPAT/XSJerIG7CMxmuHaFX6pTye1xEIlCQOFZImK
KpfQqGky72K3PA1D8NVSVbKKHfKlSudOQ9bja61z9pYIqm4Jo4qWWKq4ju40cqq4g1lncFjc4VTy
4AbFF1cnsDPIb3MyrogXeAo95i+0cARh8ab21RKJ5REiyg1uDH1JXpa5BGfFMiCiI063VdyR6Ms4
ak53utXvU8PMNkU3TsBJu3f26hUDqsWPQ0ZXSVaXJ6rsHNl82moJ8grLeVgVIxRQs0FVQUSJWBGk
gLFDeNWFtEI4B7RVVef6lk62WRlrghw0AJt5V3SY+vE1l9yeuK9vsbS/xCSO0eLdFUsEmVzCyDRB
LFm+BJQVS1SZNxX8Mkkvq0gxc0kzM21cipM9X+ldAOBUE2sW53de5d51LFgH2EQkKAYHmWouoVmE
Zbrkpo1LgFotkKuQ/cIgb0AZnyxBa9o8vYVEefh2Aycg4xNdtRAWWzx/OjltYsJSIpboNnShu3g2
8g35HzAQoOhasD7mNy2d3tqe0cTYP6SZIAnDvUmXZDhS4CyfQTurGmLjuIcWqxaP/sKdjKbeOaKk
G1YV3nS+dmTE5FS/8b1OR+oFWCqVtUrZtK0NzXo3xoZAUu0y6i37EHcqNvo0v1G/7HFRsj93Fum7
ZMVBdjKA87oEPqyGe4w+JSQ+LFKBEXokhDi8nh5a1dDxC+S//2ZkOLAmOwtWKSJ1xP7anUIO3uT8
JCwnj4+llI9Vra4aZj8rLK3vVaVfS0TwTQL0FJyaRWYHwn5HIC/Q5/ocCMAv5Fatcz7xkyp40ykL
cR8O4KuVE9VZapzBYewyU+7Z1RCSsg+oV/aEwLwpJy53HkejldKsgprwo8i6zG1EPhbMUpuJw5qi
935I8gEiSnmjGn2X1NZDNXNWlpROoTIgALpAXkr5FobVkYX+0eDNwXhC3c6o8lFzZuEDKFdkxsIp
qW1+1GkTvPbO/Fq36g73WLgPM43tg+g2OQfcymq7+8rFc1GnfL+mBh1nEY4NGDTggdWfybjmqID7
GXnXHHS7UEU5EXDNA5LMp9Ron2vlmmuq32fLm/W9MAaxpj2JTnOT9OvYjWz8aQsBN8TCnjH9r5vk
vnDMHZLXch2k4nVIAcoAmNraUIXpS1NjZVbOyquNp965HZrjHLwM8cmKzFvsWCsEhU+Jlj/GDK4d
QWvtFCWk45IdRSYapG/Ou+CgJyDGu+ljFk/K0oK9ZsMykM4cbxjHw8y3LMzCw7mpsrveM/ZyzDh+
42kzT+Iey9opKhkDxmH3LNspWemqPar2CnEKu8sOx6ZkUzGZZJyRH7wz0Jr4dh0/i2neZVmdnAsS
l6Hz1BcPAcoWVAce0HZkpC1Mc9VUoPUwAG+GKjwi19ZY17gRQ8cy9BSaCNPYW2P5jpE3ugxFy2ow
5MSWz0mZD7u6jVkntIrlAGEbMelMfM9yQs4Vuu0mjjE8cX4dg3b2roVZl9f6rM34h1rr0MvoKqsj
133rrGnazSNDFIY8asPNI0HOHG5zW1yMyj5wGh2dgJ8O/eKqbgGFaLUFc1hWnBA9Ijkci/tIWVeW
1cDYjPR3c9Lfgyn8zC0HhEo04hnU1rkLgSHVeeu8xsYU5ZokV3TGGH7tMNoZOjkAbWByPITOC1SH
Hnw+huVBAckVTclcAoxvr6Fols4p5MOuPrf6UVjBXRrIvaYNxlVcy2uzIp8v7nIChjL9kY+fu7jI
3qsxOfZGKLeVGoEEOrvEbZo1vSph0aOewv4h3SnOIJ7Qyr0ULezjMbu3MVU7mf2Ye+pmUkm7cub0
MFjOto6zm57rZMX0fiva6kGW1hcO15vWGwpyo/gJxNiS2N5vOeDEji0ft2zRXKETjVdyFvvCaQ0o
Ifm19BCTprAhN6ykpk09gl7m3M/Ic8CfVzvNJh8RIGG0JBOnNN7mBqNYRniSRELPlte5osh9qevq
PMpMQuTVNkS8LHThV24t234w7lAJnLhy99JgbaeG6LGaG4Js4uwyCG61KYauoD0FWflsV+JlCGAh
wQh6biCdlyN7X3ozbC0a6yzPDp/yCVWn0LLDHB9rq76MYbitWLavu9i9jeyKe7TmPHZVf5mJZ8Ko
9DmzCJEmfoqvfTr3o9vtp3pqyVJ2LrlA8eTkHIRatMOk5KyVbe3T0jgP+swe0zT90Aa34szOczLk
+Y1JE7oO2UGBbamNdR/he+47r/IHWBP4w5k7Vg1udXeu9w0s8HWtJ58ljZnvjt2NrBpz55HfuUNl
1ZxzVU+MDodTtmRslmGwS3E477x8IOXHQEvAqi1zZ+sBYdXRiWW+Q5d28Ki2AGXj0sTU0zPN/HUb
8O+YXvzXduz0Xv8HgfjymN9bMVonQXVlO5Ji62Oa9UMrRtieYEKuMx53JOOx762YzQhs0ejghWHR
JheZzvdWzPqFNkxAvbBt5yOr5Z+0YpJX9qc5F4QKl3YOublDwBL36D9vcQgrCHVB0XMlGzhQKbhQ
AKWRkSHcs7yd7N030iOHrapsAsumObG0Y964HbZoGRvJa2xgn76OgrJTBxTBqN6SLoE2V2l2J28q
lA/DTTFUV5WZxg/4HSFARuYsYVDODTPkKPlkwlS6nYoJ1JweMD4LWY8GRJQvEzfDmqNt+zE8UCge
AV4FWg6NVLQya14B4yRsyEdQl1gnzc5p4gZh5RiLY/7BpwtnZs2Idsjx3rQLws4zQ/TjEo/m2LfO
ul5wdxSIigM7ELs+dcRmWLB4lJb109xHndin3uTMG7NZYHqT4ZEKnn1A9ioZaKibrUrDa17NzqWb
CINfV0bp3NM9QOvD7YyZc0H4iSpK2/vUzADwO7S016S3RMZOSf7zFDblyzxYHh0kPFJK8jEq5QGw
hKlv/p1Ff8yil93W309MwFK2b//Pz97qt78OTZaHfr9SsXIgnIT/Arblt7XY71eqwf+EXhhpMsav
Zfzx+5XKSNq1HBPMjCWZqiyC5+9XqgOS0jQNTB6oARFF/6NMJfJYfr5UQV4yGMdRYpPLZf0s3ZMi
FJRmdnltEMK3Qr2K22yYps04FtSzYyhY+6TbzJwO5CmiygJh+Jp7cnF0bF2vBeJXXkmu08TWcDoE
G92iMeEmUp6zWDIriOunSbdeXA9ruNuAqSOUcNNP6YNTB9eJ3s4ILEjmLMpE3o7UDSFBiYtAP0OM
Ss1tc9mLUb+ao7hfe7PVI9qPmMjYgGILvWUcILzNnDB1ECF0DjfczAHoEE+3y33nDDlzb+tqJO6E
dhyWJOB8ex2NLTiSXn9Ej7GWxEoMRtusW8IKfUePa7jm9heH94lHhb+rPNDEXQ8LXB+HeEXW4Bcv
9tzNFJSwaunI6WegERZWcMiqxPHRGW5KjBw7phnZyba14RzEeNcIJSh8q04eMXihBs9a4ddhcs2M
0wfTADt2ZgjqdA8QLB0fUdzjQgqt1DJ2NoezNZItYaqgWwVV0a0LDf3CYOnKp2aiaFLdpaoSpvFT
mW3nXlv8C0e7MJ7ypL/zEqiUAOSQMQ1iL01FKZrGX3thXsJivqK/pVeTlrnqkvolazU/6Ogm0YSf
O9LDAUOjHQ9TNIoz7rGS5Si1HmSzCoTzOjMcogGd2zSYMLsj3liTxbxRSHC2g1Z+UQZFnqE3V4aJ
vk1pu5Khf05nLbLuZJqUM7nVMD3hNxN0zY2KYfC6KR8NAqNuY0FVa4AhNgmYImVepE36aIt1x1fY
bnHhFeu00nZ1ot2kY9lc5hT5Fw1H7Xeucweh7AILFQHU1I++lVvSN9KCrTBNNHmliDKTVJcUkOAh
w+Zh9MZoi6DtElrBp0n1eIs1d8duz1nbrf5kKayVjIvWgkHhpDjo3Ti8JQ3zLMZ8PYfjlWq8r7Uz
VCAyGz7DxjmEKmZQ4tjntmuu4xJx021Zymx+n8Ys3UsgMV5aPaXL8pG1wgmwhnUpurQ6Jq33Wqb6
XWvXX91qwheJSnwOt2HhrKtmOHqttq1141Rm0VVclscxoZ4uKcQLEIuqibpdFnTDwQnsb7OjdYym
BtPaxV0gMZEW/XxvOPMlVDV3EWSo2zC2x9VgOjwvzpes3g1ybpjCRfthNm9q+7XR2IDnnfdYEKeT
JeGpNkBj5K3NopYoaJYf3Wzsgz4emCx0txx2iE7bNdIYrApxyK9PBTdm057xagBVhYNZdvGdFNKn
ObqfK3wHTg3lMiJ0ZGXULRcKpqidFwpzi/w93pqps0MBH+4VcDsaoMjdsHZYOEb8cooKRnyB2HmF
/OvGHbUXaRXfylr/mrvMZHAgPM04ZVFBEvapsM0Tq06SRh1IQAnVZ7fTMK+n0YWJFceErt/kJeCA
DlbJ9WBm71QW40afh/euWRDeznhnDlN1MIv+ExDFrbL0lymWF5KMtt4iEkVnzBrZaqzd2IXPxYht
AP0BhoFpB+tlrVf1jRdnJ53mkuYDA71i+yXbeM0ybF8Wk3fEmfvodgFps7Qcpmc9CN02diCPmvWs
RLWhhRs3SjMuI5fBjSy9O3tq9mNmkVeT9ezAmTkbjDLokqA42HJZmi3dcdpYvhert0ihMW4nJoRO
lm1IFPgWel/iSt41rXmX8plwHwAZFRLo3WbuTd4SZwrchSNsEWMGSyjWzNQX2vUuUsAY4ySD+dJq
X2P+nOsS3WLbuELs8CpKkB4D8+xPliaKDV/otLeN8W4ssrXI4TjBeWK84hZ7b4Qp1Ll1eBghIAQa
qTnmKcK0vdCfPunNHB84jiFoWegFrHGrRereiEmwYvzoh5HTbSjRcNyGzZeU8GNfo72pbfBYvVLI
FEhsMIzqvrPHM0KOxCeVftcx97PT6goOaHaoxIBQe7zTp3IDxH4CpShPpUIFLrThIZqnbjt0xnvq
deOqQaoAfoucoAzZ+L/11K+7fTbuf19PnRY85F8rKcGDvldSBK9gVwDPLQQLqJ97HlOwXkc36OBG
ZTH0veVxKKT4h2SN7zq2sdhlvxdSdENLFyRZZtmStdY/2u1LirWfWh7UT2ADYQJgLCN85c8tjwjM
lpRkaV9Fs2bWjwDqMu73xZSLdRRpHYNWrJzxpXFT86XCp4B1dchudc30wZJnjBljyJx+i4kMIIfr
NOqQl/W8nmRPdEVnNzQooEuPHEigXyi65vS2zNPnChQfMQefRmoY5NXm1eQUam0VcPs4tpjIqehz
KXFJGgvdD/FWxAmn+SPgPwwFqQ8JlQBMoICRCF5YR4MJLPUEAlL2gQ9MM+aH+cIUZLkGUWwd8Vcd
v+ymtrhY2uTsJ8I0Yiv+P/bOZCtyK+vCr1IvIC/pqh/+EVL0AQQkkDDRAhKu+r5/+v9T5rILu9L2
8tyTGlSaXs25++z97QC6bDr4iNU8JvK+fBXx/Cx75qHWyoK1VuabZsQnX2TxroqVHUJ4S9Ysf1V1
Qkspd5wHr+Y+ksqbOJf5dC4Mqjh0FiVuOmN3ToMvWuVcskL13anfxvNFa637oW8eoQL7Bqwq998W
pB+r4GXE//Mb8fxCfOMnNyIf9OuNSASdG22JgGMwMb6fW3470ui/fLe3cNhxteUm/e+dCFiTBmDu
DO4RFAGdM9Kvd6L9y6JK0BgJt544Of/0D7JIYtFFfn8rcrOD7DAEDws8isayJ/7kIXVgdiy0+vla
z8KHSk9b0r0Tx4WyorV0zjZOZW2BFrMoVdb96D7gxZYrtcPwn7nWl9gxznrR7rM49vGVB41n24AR
/Sgcynt0bbw4Qr1IJa/37RBJSG5prLyKtMgAJoFrCo82oz6yY64C9UrteNe0gCCzLmYNmZc6GB/r
bkhAWDiwCV0To86Y614ZznSlj8WXaVIeMJLf64XZrVQxp1DyGOWUiaYW56ARxAF291azujWTnJUI
NTtlLG7Qyx9E31BM2eraKmiTc1/WJImC/GPiREWIU9vAK5aeqBdsshivWxaqVRqDEe91SpiL8Fs1
ZLPXqhC43dHxpdoCyypCbZNgnWI9qhjTfhiZvsNBHrUOhZlGo05jpdHZa/Qee91nIQcx0R/rvnwM
VfdJMWyySal+SSh5aU3M/hHGkDqe71vWfH2nlVdaMPhZWXwIVfP6Orp10UtXPaU+pcz2WjY9JE13
VIr+Q63NyVOViTFe1zvo1pTBKUrSrnSG6aoh76mH1hqAkvACoXZw40LnWkyMz/NUJeu+heNLjdO6
XQL7RQzeNFMnxXeSZCYvS48KWtZbOMlDrmvTtg0I8UMfXeeO2LuWvuu6+jpI8R/qUMtwQtVVSUu8
1WXb1iTRgzya7fW2XjeNeW5HjJx6IVgk5P3GUIPXhJVgko4QLrsRSvf4Ii241nzOdZG6ZI+WpFHI
sjrUlReVcyE4EWiUTKxrrXHf8aI6Z8A2kNBVOJeiCy3ar3TWVXl9B8HZuBJtVhw1IVkq2rRZzXW3
gzs/s0JhXZf2cKqzTNvmgNg3Kdf/FQr11laMvVI1D6ppYoUQD0PP1CfDRvXaRmhXkETjU5njo5W4
QvzQxOwd9EA68zE21uTIAvYSmnpVjrq4kO2yd1HSb12j3E2DPGTs15i2xQtGYhPo9RRd2zqF3y42
r8nhRN1yViQ2naLP569TU2xEH30tJFgGlzSLpKQKvPmUXhsGQaYx2356qN388Nz9J++ymwIXKdzp
n3lFUDwQUJgAFkr1758RpU5jbKq42nWa0af4zTS9Idv/4y/hLkX2Bi2rGuFFhNjPj6GplGNDTNu4
TprXLrmZyi+5e/r+Jf7VxzX+Xn/+jjq9JO8/eUXxMb97RVE9bGgO76nvL5vPrygqWMiP8jLC7817
6Ndh0QXjTMzZFjb/qH6fI399RTm/WPhAEbOR4/SlJOafvKKwP/3PK4o5FRkPW5QKNMD+Q8wB8zZK
bJWb10mfyqMisyq4G3EqVTtLRAlLMtSYaenBrciAUYGU7o0at4fZKeYuCchDZpMghDFQz7qKU0fd
jB3rWMPGMqRDJXRMwqID2tsqkflBoZT2bNP1iqqNZyaTnKCg77qz827GPeEm7lcvoIgE7Ecoj/k4
HOM83ShOv3CJ4u627Zu96EfrOR3dnLaD0KXehalNLXYzobhByNtKQ5VSrWn2GkGCL8/qXTtrVy4P
L4jQl0h3rufK2ZMxuoscQldF81WRTnnMYd5XobunKSbaa+6A/iTXjhLeZcK8xzIwrjB6hVhL9RKT
pHzCpLinl9aP1eBJd9OXLuRtx+4VN0PbD1sw0XzPBv0AOmlIVoEc8Qv3WC0H/qQWYFLSqwpgHwd/
ea4y46UO2+uWcreWXzTE0mI9FwMiRlAeMjux11CzdqyiPbwXLC0F1BSUBD+B+GeXOiYUe2ILr3x1
6pBSWyOg2SLedxKRqbKbmUmVUd1ZwLJaAKF7KHYYU58SthLYL0FA6fW8kVNKgUsZvjVZX6+nUjO9
nNcPRYiHFJP/FgnjKi8N4Q1tGnpRXT+UQWj4ev1Bra+6sxLL9RGQSASYSFI2JfMj5gZy2tdV2lW8
Jcns9Xb1xakdqNZuuqO88JJSKe0u3i4ccuu4Le21uTQIj6qcnqd8PjjS+GZjWvVxS0CyKOYnoy4P
kLWfR3W+VI7ypa8xKJTAVusWTkJmADYeEkrFQAVk9rRLaEQATao1bG6G99FByKOTB4N8KTex6N4m
aFQgEfSN3SdvEyNmsULDhWCB4eq1JyB0wpZMrjVbACwtYfDUGxYsCz8/lOlpYbUEZgS3pQdAZOPl
suFNZzwNPIhuDGsVIvEqWX7jM6yYFUtdXkFttGFhGU1UrmD74ahDwUqvXs/cDBdYW/YW9xA9ZHhx
VhynDroe62ugnJjE+Jg5KpXrWEp9ZY9q4bO7h3ljVnRXJNoET0aPxj15V9qfqyI6OM4Ip6w3Bx84
asvmH3602vebAYKqo8proLfE9YR21jukPVpnLiCVpNek8VVlsXoX2iPu7ukO713ylGuoraKio0wn
SqAFdek7LRdkbekJHEq56g2qE0dmy5WOV5tKIofrRrgKXU+0vGhD19PXYtAZU9ABqkznhEEicUnq
dmQ4Vl3KLlxEzWvdKVuNtz7TV73PLfQ4w3QOCuuLgyZTxysWSQlMaP0s2ONRnkMksJMMLcZymMtD
G4YsivlGKVPw4+2svlWa+BpnWYAwxn+L/8rZ5jNiX5KkoMkySncaJVbZkVG1pInl7xtYGR07wbEC
hcZq/4q233g9zN0hdutLOPBTq3gkNcmwM+nbKAtav3BhS8ZzjdPZddZjiHlLdzr+QozOcF83YO+n
TZZnbOQjgyJTgNJAuI+O7ORqKDF4mckT6NFtpzR3c8JQyT6EiP9Q+7mWnJuuhk2Fzr8G27sNynJn
dc2H1IOFtFJ0HvWG3LAYOcXZGbMvWROnJzfsb3J+o6RXKNrLCsQnSXsmvr5HjuebwSiPXeC8j4VA
TS2yQ5sMeJq1cWvDkP53QvixnvvLU+xd17bv9f/OCMbnYyx0DBJsgsfMwnBcVKPfZgQNdBBiCNMB
YdTvHb//nRGwLGsLLJJ9OfFOBsf/zgjg2OiGoOkX2O+yef8nx1jnfzZzNodr5hRhAL5giOH7+zw/
9iIXbaW40zWTRLNRlTT3G7RLHji6E1QUvMajuYJNBiDfDPKSaaC7UzNzazoJ4Nh6xs0VquZpzAmk
9zFWmQ5GuoGAxXFYZ6ettS49kzwiKSUoL4InPLTzVsGyLM1tExdf3VlDKDXVtxyNG/PjfMkiDi3B
QFOZUvaEyiW1KA4ws7zoVdYANmj9gtA+azj080iif2Xikug4ZPqMXnQgZL5KPGtHup60hQ5RXUs6
Oo1cKzfXUZnc8gR/H5LqruijU5kNNZ6Vhcw/KuNBuhBs59Ytr9XOehZC3LoVnyXgHkVyGDwSIF6z
6MrB4J5VVOJKF+lqlP1FTeaHrCvv3bg6RmHzjOi2pWKUb3aGBEE77ckg57AiR3OeS+fbDG0AFkhS
gffuj5NdFMhPQ7VWOiCzIYxfVwRvSag39DoUm4CDra1UZ3ajX+Moq1ZLDnEdhVnt88Z6nSNxpfHW
8genvI1CyWmeLZJz0+iOMm2VLp+oo+XrURpEgzLwAUejla0stsIeNzT84AYDYqC5G62e32fHiXzT
7hnRTPrOa5w6TcOMkXeYmIwsBpznDOXOlbxOB2E80mB87hRdepVR+v0oTK+Z3gPb8pHC27UI5ALP
/OhsWXh2Qj9ca8zFRlPblGWGuAnqycIayIOLzeIFj+OLU3Gm01penrTVWUvUnYI3i15k0T7EcXHp
1IyiZYs6AZqHNzSWcSZe4im0d2rWZRzkI2197qrNmqOs29TrFYBXjsXl6jQAw4G6sY+dcEvaaR75
RdbQUi95wkeVy9QT30CkqjC3WsdgcGqWcM3otWb0wnBG/VFfvNijzvl7VCKvUehooFnWYGxKEr+U
Bqd90VHQp2FOHw1pMAJLai1srimWJDuRZecW9/S6yxOXrOjMObSidUI3jGOqDBc01qfc1gMOv5nj
U4N1yiyxsxynXffSvR5zPHSpIsy1HWp7lTTpysLmi30NBnicjtfFqOzroqXMZ0jekIIe44xK3Gm4
iRdBgKTgOw+pq1pI4J+Dc4WlXfVjGHaroMn7kzvx7i/1b7GB4bcpQ+zu0+sQu1egru8iBKg1XIWn
tGqRLBRTbhwzxp5PrBIfIRyJoroIyUAEPuc9nqkggRa+nbsBJSVVrFVjNOQQZHRXhJKpjOOGr5TJ
Yz4Uj1q9lHL3zMlq/MxIQOi1LahJLZCDWC6diTI8xLVyJNV2oM9K9dXR9K2wPATkR9eskdfwzTRg
iMoTRNjtAmYsatqPB7uhwVbaX9uZPtZE6u6uL23XazJc6oPGhVeBsL4WSUFLV2XO0bd/X4s/tiy8
j/7q4Nw07z9Td/moX4/OrFkQT9mlCJ03z+/Zo3SoLv83hpGFnccL7tejM6QpTtpE40wVFhUklk/q
rvsLrVYWn5HzM8uYf2ZY4cX8x6OzyRvZME0O6igrIE3/8Frs3JFCQ2u4nlhbYK3vA8yfNChMROWi
EBp7cGxnrih/ivs+edA6Dagmjrio3ZczqLQR03dyaiB2zH4Mrm2meB2VC3NsjlL1RkUq0KK0rIPZ
b2XN5E/ecTdamnQ/XDXT2rupaUAs4TeGsxtM8+xiwC0Gq16RtMS9VVlSzDTMJwMb07mA0rCyOzlq
fiZkPfv4fWCKLvx6UncJZZJqQt123UvDvE81CuU3lEjvccAxh+e8j3el0k+7UZ+6+GPQnXEjY7KL
vpQxzIcFUb0L6cY4EP5IXyNwpJ6LJ0FZIXv2vpLW4I0zXP5uSJhdzcgwsMcxX3uT+OQ8Z6BYkEBD
zizS2JpT+GENClv03PlAADB4UEuQyjw8t0D3gIj2HQB1uxiOoaQewVnOGjJC9iboLkl5KGxzbDvh
8NImNBWRll7VqqKyvcI9gNSn7pyaytsogIyuOUsocS7koayVFNM4xt501NytU+bviT2bWz3VpQ+Q
1Ng2RRv5apNbPChYuhpml94kKnikyqXgp+zFKquqwXcU0l7S0d9DeO471lVcFn2qAwGlhLYupL1i
lngtsVvsrDntwCkWzjYEd2gPQbAtBcqBjV2moZQSrmHaCntLFqY5uKYaE8kIY96K9J/IwioOCW/r
qIsp9LBNTkL2MF1cNzC3g0t6pulCc0VHFp0ftQGfsAtA5c8136ajf01zfPyyivE51UxVwUANC54Q
DPQlhQIdgBc8GVZ1gcjEYkAO7cWOOKjjv6+giTGW7IlL4vFR3dGH9EhzjzHCitTsjmYHOriDMU92
Gn72NQ7FbPfvY/PHYxOD3V88NovmP/8HpDR9/9mKmg/97dmJLRe9EXVOsJr8XXsc+XNSiY5p2DD8
OFH899mpUzLNQ5VZgQUYZ3O0xd+OFOK7Y5fHqklrGAn0f0SaXw4Mn9PnNv7eBaGno3jzDP/jgSKm
4dUZcje+6jJ/Nu1VEG6N6vHTL+Ynujrwn598FcgcbPFMA0qIya/n87GlClArzdmMr9oCX71XgF0P
Ca1MwDXpu/VjvWHngeRzshfEZ7fAPtM5OPaocrdqGV5SNhPCDCNs7yqSogYsVHM6AF9apK5VSKKD
yPZdj11nQW522glrzqWZxLmCQDrW+jVm44MawzbNFkhprFbuxl4eL0FHvQSc9W/aCNrMWvCmcZuM
HPe7DwxQNVYzCwpq/Z2IGvDx4wJJnSigsw6DMmfbYBhtr1UaiNeuIJzXzbw1kjaHNyKMh0B37a2d
mvqzyOi/UwDcbCM1CS0/7Koyxa9UJY8FkSdaXBIY09JlpN1rOiUaCC7OFRGRCQWAyijoyE4Yrlom
PudhFpUFJ1Ck21rBSrbVigGy1poGbtWuSF9m7RTgTMR96VRCOfP5S6+JMFktuLFCybcOIoRndUh1
JNXpF7OdiPHRSA4dQXDnhq/X6M/mJO3mKKaCeChQv9vCrs3xJtSwAlVyco9ubdkHkHTySbU045HI
DIbulB4Co807Y+8Q/wfSKsxh3jm8kXFBDo17XxQYqizszD59c4YnyjFcpx1FdJWUE6cGs79yu872
W37nJ+qTmpcG/XmcWGJNo0MopIr2Cmw4Hws8Voa0H27nHilInVIftr97SzheW6Hv0OIyuQAVygxo
QWJ4fQE7tYoenczsT/zpes+qotnHWCbQp5G7xnSMDtbchb6NkrZt25RFn8serQl70a84Wmwtvd8N
Rg4JbxTNRaJ98YbJzkzbZ/qc8k1WRxejMPdO2MVeYKU7NlGJJ3X1pnGHO5qp+3v4aM4HUEYk88Sz
htH6KAhimlnjJUGlfVGVbiOtdqOIIvFdJdskDkLWiKDXWOW3pmnf86h+n+LpAceEV+v9waXilQcI
MJp5a4zqeXJ6T3fbHSLCaYY5KOv+VTU7lG1lkw4a7x+Kz7rpDWY27623gMCzN1ipzltc8k2Y/ZNp
EUqZLcO3mqQhAYlOqQzzSWRir0txtsqO5GDyVPLnwxyG1OXYftBbGymcXafOT2PQ+DQEi1WlViud
KrmV1uQqbmBI39qERmbbN/yMt2YHhmaMZomEzX7Z6NXoHBoWJTiBuLRp3pyHqj1KMXIxE15MK7Jv
pJm4yrLp6HITEe6jObD2RkronFLHEFs8KnOLE9i+64S85FV5gl6x7oV7yrr+EroI6KL0BbE/pqVx
JaaEgwhL/HVXc6SXtXqVKMlzkWjP1NEfoibBTukc4k67YJPF2MpWNk3PphETgq2m42zbzGIMCQ5t
cFVi7zrX9NwasTZEhpjm4eAU87Sv5jw/0Gf4LZvwFyohgsQkyV+ao55sK7fcBg2Yv3lSqs1fP3l/
wkXSCOWL77xXlX91/iAYhZOWNZOVUo5TJcLvU3fybZzWXkbT4KnN9MGze8rdijBjaprftbJqLlWV
qF8cRJxVMY63HRk9otJe4tqP6thuq9D6yJNYemWJhCFjCg5ZOmyKmWsa7DQlYmazHhhIaeaAMWI7
7Y4GpldaKbt1FDcPAlaTj8uaLbYKgjLN1+gozbjXSkLsbZBvtbjeCqO/SUWxbTL725Rmd8BPDx3t
ZHOTHqoO6HpZnBz41dt2mCjcmaKdoIJ63fTR2gpo7gmNeCtZ3XmN2twaU6ety9A6qKHLfU00AxAq
B/G4Hu/jqDeQmtiKiElcG9GcQ9eDq03yDrPEfBU28T4ZENCgNJKAq/bBogXgSUQ7cOhcJoNnyvKU
Sorg7FxcRylxqS4Dc00PJd/lzHut2RRxfZ3E6S2IO5T5vE89i7X7Wi8Z9ur6JtKbnoA6e7QaL7gx
GcCRxgh2gH2Mei6mkQvUYS+UJNVShEfMI4Osoj3F2eRluoWD3dgNPIf0pvhWuPZJrdSeBb3yLdAs
vPRUjaNPj3gNMm1PswfPsvYU2dZXoaYbVZ2QWtgoTJnQ1nEzJZBm5LU+wyD/HsczythBCom7hwLT
+RGTVn1OmWT/ZjOO6e6Pg4gFsNKxxdK8Yyzphs8jAlr9AFkmo5OOmnc9PtSiW/31zcDI9Okr8Cl1
m2MiEi2GIux/3y1CnyxAugUGzHGlvEqteKVY11EXgeG+ral3WYK7JBI3buz/9dfkAPo3X3X5uT99
1a5M2tKAn3BWp/zOFKTw0NfueCt+5XQHKh3H3bp1zEcr0Pc9QhPuI/oRUoSWtSoiqO31/LVQ7FPU
GuoaK/EmdQft1QmpGc/U+N5yssGTyXS0U+PJCpLxoKW6haw654XfzXbuO6WCxamEhmnn07TvRlt/
LfK43bDb1UnBRm8p16pfqVbo8QSevJaUxZrQ4F1npDP7r+SehY7YZxKk8tR+Y1ey46X0panrjdUM
zUqY8U7HC8z+lQklHfJ8O82duq4oRvTqweQIFY23IszhioFUr3T6dajpOnLRf1TNIBCvon1tKFhE
jC/jHD8aanIw24I94tLoEAU6FJw2ov+vM/fJHB9ZmHr5FAhPT1VAq0HCU1Z97FUcW1GcnZ1w3Ob1
4PfBzBWs+kkrMwTHEn9P5mCZjx2vToNzibeYfoidViy2KzneEfJigCuVL11LLa+ut+p6ttutUkYo
XF3xYsnqXKvZpSJ7BsSmXTXaoTepNOtNfWezc/NKTbvPp3AHWIIwSd1dlRbvSDqA95zr3p0KA1IQ
QWM2ja0sjZM9pOu/udz+7hpfBvFPV9sAC7wXlIucyVXfyCtlUx2rh2E7782ddXJ49azfxLBid3fO
n4cf1T1/WsC+lDH85AbDUIoXV5AkXL65T1+c8JmTE4NWzqWHBnwS63KDMVo7Ko/2BhXw/lpZnx57
P8Zd8ML/pFfTSV0dok2ArWiV/c138/uDzY+7XVcZL/EScYwy/xA3nNSB1a8Wh1ehekOBzCpSH+v+
x9H3T3/i3z+z/vdrIHB9/oHnOuuUMCRvUVTvst650+Wv/5w//RmoGsOpjI6GxPX7z5+N1sxuuuLl
rdxULveDycz54wn1r11I5w3y58d3snr/ORQvVfczY+vyob8e36EYkdHTcAUJknC/qxkhxmdiIOdQ
xTFuQRz9Jn3qGFvREGC2qLi8MA59kj6XGB83yPdPZoHP/ScLQQSE391ztNHhFnJxlyOj4lyyjT9c
5jQyZeNoTPX1pPQWEXTRadQ65yyw9lYX5teRYZ2jEJqBZbKp5rB4qSYGmFmqt3pg3CZ1916o9MGN
Y7hHGz2GtrbB+nmCXLJW+vmQ5jiHcs2bhc0cbYyvxOZOKh68ld5lV8KAkiPtUxMqm2JSLjxB7+0p
fzQJhbGPfHeQumrNIQ2X7xMQFqGiSLBjtDk64UM9DWvFUC9Tkl511FJi8bgiT98yjo0ny5m3Zq0R
rpf3JkR4hZ/IT+vh1Y3ac+Cywa/1Z9o/t33bHvLA2rQ6MEmjugrC8MoFO0AuEN9iedVh7NELntyj
eMS/vAs1HEjTtFISgohazK2l+bzsSEgBw1b7JyqQbsKwO8thWveIgcaAbSC1WMOU+CM+mtoVCwwE
slzXHQCvvaDWQfExHik33SuN66Gj3oZy3ipx7DFSs/OpkYenhgVSdL28cBIY/Fps3ZtNtpun5jZz
2tdcjFeKk1+FQXXqrQXK0x1wsew6ONO2LD/I31yhfhNkdDmDGbf24mhwlHLX2nm+MlJgeJ0Nbmni
eR8kL3phAMKBy0uvDDA7+7pT2pMUSyat39fMuI2t3MYuQ7caPBDOvMdVRIKYZBpt6XCWaREIA7Va
21l1jpx0KWoFDJFO5I8oUnixe7fegopAmDW7tRzLR5aH4Ypa+1d4IIy4dU3roP9DTw8ap453MdnJ
Pe/0Or425pkQQmxYub7t6xwDDuQqrx+bPc3d6raoEHaAwd0mRVse6HPt101F5YlGUPk8mjPt2NTN
IgwjaFBBiLFXn+NboYltQqgQXp/cxbnWsDQlkMmPhJFXwDfAiwaIqbQpvmFLTrZxMAin5aw/reku
MqaKsGfI6li3ks3ctUBcSsDpg2zunbpliLA6JJ4UU6uDmDKju5ts8VxFgAEN3tA0UBuM61mYG6NO
iP0lAwEvGP5p8L4k+BxsHsrAx53rrmW/OVHvUJUQqXRLUoleXESRPQwdZ4yypxo0wKQKvYu4Q1wa
r1K2+Uqtl7VwA+2rMVxYHoupd4y/uQqv2N6gEbzvw8pLhPMuS/c5n8Q9Ttd3vn9Eo0JtWF5zUtdL
ZqQwYxbCDAg1IyEE2pcaLTW1R1XxdR9mBwbKB2OcWAGrGGycAw1s0YaCZT+S4QPgI5+O5+oKok21
4QwZ8sRRrHORBneYp+jPdZPGF98rwwzszYOWfx3imd9yRVVz4RRLYLamw0bmmzgZ94GSbmPVjcD7
90+0FoBebMdrEL2vOJVfR6PnpTeSiaQ8Z6dbvclHptBb6KcUldg4JT45VvrboBBf24qdBo8plsHm
HhpNs+qs6OskdT65YrxFQZV5FuF3t2tfFRod0Hw45gWqV+XBI9DHfj3BtZxZCK8NPOxQh2iEaFmX
znX5JRz0zFPjJQNt8Xcfg+Arw+cSvA1sri99Q1k11bXA4qgOSaZ1UXBbsrRlH6HrH5kqRnJ+2MY6
bD9RQiRyyKp9FM0W31t/KJ3mesxwZjI3I25A/Q/Vq7DtH3JVPbQDR2lsyS7FBPg5IVOeklC9G2R7
NPPwC2AqFSuH5eV1zEHOGHTPGpVT1DnaKp+Se0yUJvXVpe2lNhUgd2GY5Jt6aGS4VooFXcWCGE5+
H+4NvHBhynE4V3FjqjPnwinn9Jk3WYGXVByaZLqUlCusbG1MLxF+jB/j67+ziMao/OezyPnl2/vP
kAHLR/06hrCBZZgFCqAJEwP5sgH9zZik/gIYjT0C6jEWF4t/+tWYZP9io+vTx8ixlyTa5zHE+gUb
OswPPkDXkOT/kXnZsJZR9/MeAUyAY1PCo8MIB7+1fBOfR2FF1aaGgKi8DuD42UtRe9uAak7pbtfb
9LFMlFU5tq430+5uLzXveSaREbqdSv+7sRTBD67JKW2AuG2nxxHs9mp2Y6pmeja19MgvZ0eeZNQ7
OFn6wCMD01Hkuj7uhzcNjhnH1u6q7eS61/oni6Z6jcZ6c6mu57n1bLnYkxAyH5AV1F2OkiSzIVjb
gdl7fNvFpuuYsiNyxFITT6RLc6+K2NJS3c3uT7GMzdgGH/3QvEMRgWuD5dh3CsL1KL53RRJeRpm/
zOrwoExA+1xL9uvCRF1OFCL3EBy9zgr5Dbg4Jxq7eMWL8Rba9VVGfpHHBD9iVzeJ35TajZLqC4zx
XJTzMaaCDK6ZSQFkJG7wb9youQ7CLyK+NDgUuKYoHVtAH4RjmuEtaGKwtxrMrSR0WAeGZGNSNf7S
99MNcT2MKyr08UZP7RNFOXdNFiADapcmH+pNnBpwEdz5GKbuIWzHIyEfdW0PIZ1Kbb+XGqQ4WTB0
EK0rVkVn0oQeNY7nQnu7b5KCsC7ZJDpW7BjncqsfwMAAykrGb6yqp4PsQ/L7uYqdNYudrT44CgYc
/WRV2r4ynBI3ZRBcJiWnk6Zq3c0kOdm7aeaupBJZ67zLw0thgQpYKlYiG0Gtep6goWwbCRAuLUOE
cmnz9iyNjU3wD34LG3IrDzatrOiVsXNC/TJ74x2frTUbDRnib+anOQf1MQueU5s4lazLc5SUNKVL
+jtAFW/iKB89de79KNAgVORWcxCiWpBaoWfjfvew23FBdkQ81cbQd7WYsrXs5reuVoEhNB1PfMXA
ZEPdOrGrJQ4Ti96bJ+eMP9r1nNF6r8seHIGrXeUDGXe95VJGXx492Ucpfh12ZJpi3eWh/tzbCeAs
9NxV49jprm1G2mvkcKdMmOYCFGh4DTlvFtKiWPyxPXc9l7Fr3wQqfvPKSI0d1Z5PbixeUV6J+ozU
Oo/NWckU8jyKQz3NABc1rF4n15j449ugDfLGtS64qVrjQBedRv88F2/kj/VEmml4h3PxOErueZE4
BYsc7FQTLrVJb/Ube8iehrxsvMBhsoSr1iF9TA8j2j8qLV7aMVJWzuAmXlG0E4X3xaNTdMN2SMm1
RpA0ArANeAylRSk0i/DKCaFUmPmXuQiua6s8daPbeF2Rf0RtdSf0cJ8L59g78Obb+EjF9FYg4odK
eFZj7PfFxILdSFlNZbVxqxZW72l83k01akdHZwOFML2nS0n47AGfBlfumsE4Ylb4sFp7w8tveTQZ
frGwGQsgjWIRnKqF21iN7UCx0sJyBOrojHIMOvinbfuYM1fw8gxLY6aAqi7u9KFrHpDVB7Ykgnp7
S4WnutMjx3yWSWEeWih78iaVqXT2OD2N50BagsJokwRIBjLVo0HyUWNL4puj4NIIZOoHXC87o0h6
n1ErXQ9cd75ZsoDgKnzqjG43U00AC9PaAU0LIOBh3+NclcOZDS7OPONU64DFZkzJpE5uUksi+XEi
JoIX8XhKUoGlO/6QtX2pAbDsqKbcTCCYdrSbpWsbRgD7JnYb/UNlFvOGu3jrBGCN3I6yBHW+cY3o
2CWTuS5L9UUbeY4X+QAxNrvVBi1dt23QLAwHcKZNcD0lqlhPGPRA8McjuLtBS/Z5gWhN3/aLXfR0
aQoicrYVnaIkfhXOwNOAWRH6ZF5N5Wp2zG1gGNyHKWYTW0m+MDFBFfWyZOeQGchnoBfRVumda6mZ
0aaf4g9LD+ktaRH3YSPYaeRriEdYVuFNp32FvT+Dojnr9KwHPP3qLJObXC8dpFzsn7GIgD4BhpqM
bKv3qrbOBjwYwqpuo9jECVTbp6CsbooGBmE1ENUml/mlCsWVEcKSNKWyMeuafKWdPyRWcVNk1ZVi
BTkQWahuTv8WD1a4Hcb0OJRjsUIfPgY0oJmVgz8kup7MIluL1jqUAZNpF5ebyFX3ZeM84yyItrpK
B4GlFBpcGooz9Uhfm0x2+QRsgTWZ7QLA0ITxbnGm2wz/z955NEduZdv6v/QcCngT8foOEol0TDKT
rmgmCFp4d+Dx698HSiqRrBLr6sW9EW/Qk25JLBbSAOfss/da35pYbDVQHHGGUAm3i8kfHFbCFDsd
Nq7bRqBt4AhifqTqdLDZJN3EWDm6JIyZZou1VVGoJET9doX0LdH4qmWgiaItGpabbpUpwUvsOBsD
p20h8VO/tF8hHj6XtXKSqeH6rYz6Tz2pUn59UU++5M/FU5T/JBhh/sU/S0os2wDZyMFVsUsydeFH
30tKfa42OSEbCuwCZCbfS8q3jEhVxkSN8E3V9NnF9k7rTrdVli2ULP+orUWW6Idykm6tbNA9o6Sk
v+aQ+zS3vd61ki0cXzbaOOkASdHlWEzxoE8vfs8JMzGIVG01ecU4GRBMkKVrcpvFhQPo+1y1OrTN
+Lty6yJgW0JGjidk2daKuGEXssYnQ4LzbIb+TIzBXBJXs+FEpdsU1D3/hCV9TVNtzrzFmAJ+YfC6
UnJWQlFv8zKRn4IKI0ulDuWqmM0tnNkb8L8YXpqCP6vNJpg2UcU96CWMMbNFZgo7Y9fn1i6OhQZS
R2yJQmfqgbOmVdtH0DAc4GbTDaZfdHOzoRc/zjgbczLL8EJH787s2bSTiTjwwHYBMRlReHM4I8cx
YRBB8NNCG4lss5EZLtTZDDQx2QXcVR/jGmxyPjbpXTebhxTlJtLrCElwchZVQciR2DmPJxoM2A9P
RznGmg1HvKeqrqEAmTZ7nN6kEJhm45I1W5ga4l92+ZutaTY4sS/KXv3mehJwmhf2bIXqSqQafC3S
gTjHEYSpg66m0Nwm0nfVLBFPumI4n2aDVV7ryfmA56qYzVfObMPy3xxZyTRFK8Dj2AFdLSdwMJ69
W2J2cXHMnzP7BvjClELYvOIQCAXtoNK/NLjsunsL9ObGzre56Lp1VmPA8k3JPo10ki0WjeOfJkS2
2fmpUrX+udKGd2lIqF+Ymw+BYLzaE1TjQSi4S5Qm8PymfJWdLHMRuu9TH6yvHY+HlDKKdMzsNaTD
wVyrOYy43tzMAiulCztxnTxBO9GZW9FV1g7ykeJ28XgZxniWUJev9ZD/cQT7+GC09kIfZ2xh1ALw
MBaN2tKdER2i/dPOKKXdqFnY7pBAHo23lFNB/UHDazA0V61JhSjjtNnDvOAwwY12QAcIibUyqhNT
L4qlVBRUz0zbmMy3a1JH7mcHeCPjZh+xB+76Ab4REc7KytB9+wxD6UrKnGdVqvdmnJ0XbXvtS9pp
XVoMZlWpPBulaNyqM38QFDjMYJz0wJ/SKzn2fYA/L400nEQpE2zd2o9h4XhWHK4r8OImNQLv+QC/
em9k2T1oshNDifZZyA4TtYZ/mtsUjZlZaqs2DACvDwHhrOmWBscmqfiS7NDalT1YKCm2/AWV50PQ
9jyBZnQYugI4cc6wRGq6zCWzx1XMdOs0hmcL8ZAJtJfIO3B7vZpWxNKSrQSUSAL9XLnDcB6ooBNw
oYdlvLVIQnH6we2VhkFtwyCTTfjaTuWDqrfXZifbUNacwuTMS3y2b0+voNkuaN1uLRL+tCzzzGbQ
yBwZTgwpcWmvP4TAnOloAhdDFRMbeD6S/MIu1Gcn4RnOUu2lccYLXRrMJTnUp2M1EYehuyXfMRN4
PJzIFpAagAaTYaz62RPqzyv8BEwok3gr2vA4FcMhIyQVM+vWHwqIYgXUJi6fGvJ5lg9nYzW6KqKU
3G+XEmYC2DTo/kGPMfXNSmJXa0BKxizmUKMn027dlDazhK0yCS1vLItDXso0VuViTQgNo/M2OKr4
NqIu2AxwubNC2nPgXEHooiBQocoNbsUjgq7c9YWyhPjh+k36ItKXwm8vBpRusS3DQMbR3+e3BkeO
eiIZRecakBN0Xz1wyL2sG3Ol0/8zguFCH5yrNCZlG/cPfrpeXme6cB3f4Q70JZS3MhTC7HVkcMYK
t+JE7tahvTRt/Kf0Q7cawKlhErey0uwmw77EnXJrh/VF0I3nbfacj+VLJRNoiPYY584M/C9XtT8u
k0D3Qnl0Ay0810R4WnTaherTaZCahSrwkTAJKGV5Izndxq4l+FjpZWwU+8ZQrgWv1CIDcmEapedL
gN3kdsWjeFY79krR6p3mg0gcKi8o+cCwjiyLCqq4rqtPfVvc8lfRggCIM9Z66fIkkaQVkkuQ9w91
XuNXkk6I2NpOkoWmEItKJ5JVSLzVIix9eIDhCFfCtNZq091kbX7f4I0eS2tL9wg5NR5lXCib3Da2
8pAVi8lwEOF0t72QbwoRXzAioaIeVpHf8tk5XpA3G6sxuDstEEDdOZS5k5KhQie1lwAeN/bgH2jK
b3M923W+choWDL3zliTOdDySwEVxCvC+t89j4ew1ZbgrTQRRgum46tjXvjDPa1Ef8tq4wOkrL2yl
vmyBMXQlR8LZwkZqxB6QGKEwlbzo6ZWIeaGaitsxaU5UYazLkghdQCWxRqR6Pxc9OSVzfi3Kcaeo
xYmk6uFB8kFwYA9IL2vk0i6ek52g6TD1PViQhI0nfubkeR03GVUt6p+FYzV3OtpCdW7LFzi+I+XZ
zEBfNNVtIsKtrCoH1ltk6SKBJVOfYFHhuUxxwE2ychcadblytOQqw+bEkTFZJ5pyjBPmWgk5b3nR
aysUuhs/Md1elTIvmgq3QxhrBX3gKqO6TFLERmF+5AC9jv1hN+TjcykhpKzjh4a4pxnVxBOAcSfu
LK9tA0+EUu5yzKckb90sZZPArL/pJPu564wV+ULroLNWxNN6ID1Yf6D5ozyaVkOWn4wNSL/GuKKP
hQCWgUheV4smSlwp7KVdDlmvlDlDAJgWSrFNpeZ0kvq7WpRPqKPQhdUOFrnhlNkEQEeZ7e9dSXv8
78A6DIQGKiNPorsc9PYfK8SmF0Iw3JUOckZTJVkUpDFwOPn6ItS577qav5ehqBkglmjYmjX1U1eT
fqBs0pKVDoP9KGhMtHcDXDzCRHA5fH2lnxW87680v5J3BW/hF6My+VxJtc9CnUmPRbz4tC3g97f3
Eca6ry/3SVnwVl/Di0V6rqKCoBf38XIqfRYbonlw7KT7pj2pgqc8ffr6Ej97R1TLFMtcBg/sp0v4
Jp54ZyzDI1nacb9umZ2kIYfKgPQMgI7NL0Jpf/KOANVyaAHegkXJ/HRimHtz6ig30RGo3CLSsE3A
eU5+8Z4+CT7mj+3DRT6JuWpfagzT5yKxIB5E7GMnXH79qf3qbcw/f3cfdM3UMBPlCvQi4Ya6SXEF
pvEXF/mkEvrhbXz6aspkTMouq6PjIMHXNOA/HkFqs8DdGegn64Pa1r+44s/eFj1xQAvMfw3MDh/f
VhLZWZTHSnS0qvNKDoif2Fr+6z//6HCbmTCSuQ8IF/14Dd/QJNPuRHzM69DLTEAHhdun119f5Gcf
HYmmEIkIdrNU59NFij60rCgicFyUd7m5DzkpMjsjhPIybk90mpS9f/71Fed76q/JytsaxBL31xU/
fVkIBBEUKyO9f0hRsO2g1PxiMZhBOu8ugXQEF4mFR2/OyDJ5Xj8tPnWhYwUblOwY7wGYbdk8TyGR
eMZ5eGG4JM2sSNJeff2uPl7yx3f16ZJMdbIBd1N87EwUhNBgVUazarH5+io//+x0PhJ2TsN8Swd7
9zSR8GJaDTLJo1+Re0ObF2vu11eYP/3P3w4zOe42B7ATtKqPN10Jv5HJlxQfLY6+o61Sbd5HOnPw
OP7Fe/nZJ/b+Sp8WOJSZhVAsMz4qxktonxv+ZTX9Ynn7+SXAHigOjiQMmh/fTKQkna1PQXLM84OB
rmCIVMb75i+2up89Qtxs36/y6atPRBc2Y8BVouSJeB1fkzyhrwxg0klzlJJ1avziO/rhbeEKtSyc
obAHgQp+1kiRNUgYiwUKuenWlbjvTa+aLr6+DX640T5dgl7a+2U77wI+0LBKj/2ULxQJgj9k7f+X
S8xzXIhTDn22j5eIhyGTUk5axzp9kqYtSWS/uMAPtzLvgZAaZCEGjTeEkx8vwNJpIdeAlkydl7UM
Y+NthNcnd17e3sh/urKq+u4bXT6QBfDCTt2MZw/Zy7//dfoinl6eab++/bft87//BeZLI9yc3/re
kpV/g9qMsw+nxsyh5UffW7JkBui2qTv0Q/+g//815f8cmfi9JcuUX8fbB1VM0zFwO/8oZRtpALfA
X6vdrDYEpkvFiNmbmlH/XHRrkkovpEqSgyIjjQE5HpWyG3WZLjG5Q9fGtiuAb7dVXJ0rFpk32PJQ
yW6G7Vb243U+j3fnFlRjf6OrUy7KqLtSNF2cyENahLf+PPExG6hTI4Wrm72NgxLmofiaN6VqINJn
aFQk42GQyKByLPXB50YmTyo5KRk05SaROhajp4ERVDnPolp7+MZY/tlkSFVqBX+BNpWbYDDgTNrF
Rq+dc+LlX7tCzKq+jB7SPPcqAURc+4zCSIWdXOzQWIoG5WAzLusz8lzNeYIWzLO0QdibzsSWnSX9
xjfVO32eu/UFoPpunsUVRdV5FBPxptQyDGo47Vyj8BmtVeFtC5p+mRtlsg5mgP5UyspKwxzEzFjD
ld2bTbgB5MgRuMLaB+4JThMuNSndhKGMGlGPYbIoCtjwKg8urMYabsyOVJXCgsoIWdc4RMg/3ECJ
lLNxpPE66OoxzGkG5vWIJ6RC3S6w5KzCIlPoGWRcWo3tG9+pmg2iJiZaoUAE1Ck0TIfEr3exIvJz
v220E7sUnPwyIBQBryGvop1uSaayRf4lJSuVsLRutBLlUak0fdm20sKq4vg07NoFlCPEGrAwQxhW
Cz2YVrKRneuwnHqX/EDgbiJ5QRlyg4huX8hIBsivW6dMBF2Cak6FI53WuOOQsUVLo0wvhjDflaq4
U6VkH/eIAiuVjMsg7L0mtJ90Bm8EW53l2cCMM2ysBB3FGKmepnUaXDIjjKdT6AUI7MhVTuawBk3v
fLra4bbNfHyXc6TDYKq2l03B0/QW9yAXBYdtOqQFaCu8DMRCgOJ7ovMMPBz3ggtCoF5q4eC1c5rE
rK+c4yXgIxv0yboYMR6te+h6Z80cR2HPwRRMXiOGZQFDcf4k4LNFSKvF4gDlJvKspDGcxCVsieCv
OfZCJv/CmoMwEoECYSwx6slQYcxo6Fy6sKoXpbW0kDP13hwUpDJjcdnP7GdnJM/cz2uLCEzKVubO
5GIQ4Au+/CXzg+e0IB+Rp8tt4hGHFIVNa0CUHTua4TJI17YeM69Q6PrSsHBQ4NHmV/RgmcuiARiI
+hKt7ls2ZETeR7LL66a4+s/+8bYTGFQNfz/VI+QjZzP5cQOZf+37BqL+RgnPJz4DRglcYg//voFo
v5nvuVZ/7B5QOjgxU7oqJIBp0NAobf4c6EH9oG5CJMYgEJs4RMp/AK+y5LkI+rB70B1zMLSrDv83
a9k+FhgSz6BZVXV2zJVSJ+L5bcAxthGAKsZX8+hjGLoOtbhVPhH/cT8VSDhYyi/ByiJesh7Hrg+9
sg0YApGxUGIJwjmVLlvdOpMbBRpTjHS4KFEv+4XT0Ssew5Vami1dULwwko+5itrTjf3iUONkkkx8
PobTP5OtVHghVPPWIRgUjdnJoE8o3NGfSawfQi6MZUGaFJpMRCONz8+sUaBnZXYoWvHYQdCdsmRc
cwx5lAbSbPuG1vEQbCxy3XMiSKDbhT5Ijf4O5dN12oxYmhLlUjOa28AmxwFFgA1nTzMPAXW+RxOi
QSuaCE8ZgwfLmnBCGlDobIB3UaQeCh2VWTipl7JiVYuwjc4ZIu4y2XjRGzQIgq4wmgsde6srQIHh
mz4RTsOfdjaZLG5bLdoWQ4tmNAlui9q8deJHrSeGQteeasd5Emp9EFN0YxTDU6Lb2VLViJWDoH2U
eLHYUPpNFqLdiRtiPSepBYaXRJd1pJ21pXQ2EUnjglKm96+C2kCnkG1jhaLSUIiv7WX9OA+LTuBG
BQtDghANCOUkDs1gHUutuaqCFJJyK3t2PVybtbTD7oVP3WpweZGNyBTuUI664wLjsreizNX12PRr
m9QLePktAT1jaq8TKxTLWAYlZXb+4BktM1Yl5afWqG5E0H/zbWuVRu3RlNuDjBzFlSSnWgs9Z+1W
7UWQJFvVIIMIZQ8D0H6CeCSLbSZhaRcqlGMAcr7bF90Jasgzho8qf5IAUElcoFI+9oG8DWJrcE01
XutxcZ01+saZCZXJZF43ccXKHHyDYfJCy0Ryk4n9zGjNWY2LZd1up1vSO8tloAJNssobqaUhk9b9
teTQh+VXU1ImpMrTuuRylNQRRYyJyVopXrNayuCtlaf66BwSneFtMw7qwi56xFJd7w32UBzQZQU8
K8KmjR0xlUmcTd+0pPtoYnhofARocl2SNCLYQbQkvmmTJZqYa60ho9B2Irz5CnECete6dkMJwRJP
SGUvys2gqL6rFfLJWPanOsGeyyyOgPgj3xy7OPTGvJrQzWVnUQ56jrEj6dQaeK4hmOZZ1UMyVNBT
NPlS13bS+JrIVcZmIi4Kq/YI8I1JTbA8Wy++4YR55bRHDpGlv4pJvnNqZ092wlk5jpcquQ4LUnxD
zyRdczFmZLm29UOK3xGR1hZH9k5vnTkFGD85914MaUyHkja+qrW4D6T2pC+a87SUTlGmJCtY0ssp
GU41h8QgRUZTxIZIDdsmUGygOuIFbF5LCcVrCiF0mQ7WAxbZe4slmkwkCfRNAWxv6G1z18xA3hoF
AmFY+i2rLkXYKLDDpeZTA0tpgW8oIhHWPqklMaBIaNtVOHU7gj87VxXBhRkOD3FkBItST0iGquoU
FSWA7loHEkzLC/cG9Wo4XDbEgrtDnHspXIsl9gnVy3ND8NAVPBK2eZpS+HnF4J8VqUayTusPriUF
l9QkzOGdS7AHG21Ae2jmDjqyMSXJuTwLAqVakS6Z3ooeoKzfA1KQLZU0lvnBNuIbJMeIK7qeKHWn
x3+jho9DXiDX0NFZ9fmOBf1i1ItuU9H+QYHfnpc6qJ5onu5wIlqT0oqAt9bA55g0Pu18F/qEFSdV
isWoO48MPadCzVD+Qtqz6Id4eZDyu113aZjYlKe8fSSHijBRWE0LYImha8aV5AaT9EqGCPtFKKK1
7SAnHotHU+PZrlJKcj0jWTYlqpOo6Sk/k4EILURR3So2ORWNjdspGwcTiQQSkRBH1rJgzTbKXEYh
KkNPb4rH1oluipIbqffzFbMThIt85SDLoN31GkjYBpLuisR7PtMuAlis9UD59AwOLBljgP0p+/Xu
mkndec+eSP2FWSIi44N5JpDcVBq53ez5TBXz3wAsAkOUJlwmenw6SiQo4UMi+lvue6xNmIuacS2Y
DxmFcYyD8mUg0Qd1S3xrmoyyeoFbwWzzPSj0ijpyOmX/h0ll5bMee9uAunL1UW29xJaLWwIB0m09
VddIRKplmms3El4XTr7PfZWuHD++ZrOXT8D0Iim0nW0dBQcrqq6cKdloErM+CzMHNqSiXYw6xyQD
QR1phcTM6xghxCzBtqynaCiIwYXJ5FZon1djYV8oflZ5MH+xJExD7pUlJXKXtv5WFuODKXEzNKA5
sMXbV0MOZMr2pV0UBA/wXPFEw7Aa4hI/UcHvW+URgaSyKBw58MAOP5XxoAOcj+50Gd9IXJlHEJLf
Ct2E55oOmynQXmO5t1hjFfQOqgg9e8jDlWmlAPQAYyxkJjYePe1moUSjs6gm5c6sgZeQWe1NJV+s
kFi1wxHUYmxhdTOl+IG8lVPcHyE6GB+ERFfi70/5qBuBZRpLUKvNhDw52cTEDrmRjYNGbkhLqtRZ
DohL3TMdm7EkcfOVHYhVBzGc+JSuWxI4TwwbzadRMm8gEyiLIPANN6ukq1D018IB/5hHUG77dI8a
CihWSy+USMiK7MvwsjExRvlpA6gahlYmO9d63h6DlMMCEV1zGIOEYcnkedK6ZjUEAG7JTdtKVE48
kLHMxLJ+JJzhOGDACfi02EIIdTHl3p2q6KUn0koqzVdTlq4kzWYTyKzOTZzk1ZrTsdRUfepGceKw
kyMfNp7qzlpXNiadPFB2iDJzYv4YIw1mchNkGaaaQaiu3cLPhpAS+I+cm/YUBjr+FwlqcBvvytk8
WLZxfIaJfutXgp/ZyV0gGYxI+/hKEYQFlq10YZHvgRan2OpOfzNQcyEOm0qUlUXuVbAiXMLLmIwm
FW8HLRPqKIEGuNBP7Ko42vYIVcdCYMBz92qqUOK4Z+D2JtpK7trbspv51kIBrp0DvRy1U82MiPY1
SN8k0+3SjPiODMixlJcD67TITwdd4M8xUVvbzROAh9pVouamGlA9Za18PaXRbhjTK1WXsmVfs6Ra
8mPXkRMCxkmDVo65sEjbfQmOLpcHeyGP+MmcUi64a+MXZ3b2dSbWryF/mTKBgxEqPAy6rarmt0Qm
LxHwX5cdWWA1VZ6VsPSFFXdm6PSgzwiGW6LyXMuDeDVDSjqrGO60jJqvixU3SuPbFsWV7/tLXEYP
vp08xk1LWkO1y6JGWQbZsMJzx06pwZusLM7uijcYQJf8qrgcathNurN1DPCO9OwbcrRGuuuLUQu9
0E89TG97MRTbNipnNUuHIylWSCgOLDU5T/PJvB1xJ9pnlWR0/AeD+QJcJcLCDNRT/zmDvp1BNVp+
f38GnV3TK/GQP0X100/UpfMvvzuJIiDFuA5djIJrDhh6dxJVOEz+AYx8o0n+1cp0VLzUAIe//9af
h1EwaoQzzH5n7NQccf8R9mw+an44inJ5Dsq0uue/VJfnRue7wZABOMKOfTEdJp4t21+0U/NPu+n8
rTLZySbncEpW/dNhdyp9sxzIAzjAngV5CPYW0aWB7uIXY6GP72QepH28zjz8ePdO0OaUlYgM5WCw
xipi31vP777h4+8fyvtUFKS77z+rH6/waV5DzZcTLsM7UQeoZPq15bxif8C4eHDajqMHWJLurmw3
bXRsCljA0UscrgJUYcV5k18GPYspGkQj8GwETYF+3saXPYv+ANX161eq0B5/963++Eo/TTC0SPLR
hcyfheb5VPtVedNiUoS3eejnuFOarNH4akmQqfhH2/zDv/i3PIi3iI6/bqvfXwByCmMGftPsUD/N
aGCAKE0nW+OB4w6aZcUR6T7RVa0hxEGvSteJ5bzdwvDdiQGrcttfKCnCxT6n6ulkaXKFgXtfLVu5
w7gk73qnAa+ZZrdqpu16X65pAkuxcj1oWbzWEie2oYaC2SeWCo3+tsSjrHbVCr3isqMADKdDZ0Ye
sMtFUUkowKa1GJxjBsd5ild+e1v7KYq4qzqwT3HpISY2lx1kPsrcLUE5rkWjY4xLoGBXRUlQlom0
euIwHo0KGU/t3pIzD7b0WN3WFOVUoYuqz0+URj+n1xuTz9PlKmdfSttSmzSg/FeNbi5pWzMzHzj8
R4G+JCcAp5Kdsakm6V2DEynLJs77BiFbCO5+D8f522/obUr21zfEBOPjg69/elz6yKljZNHTQV5r
G3877ZsbbU0f4VAvlH2zqVzhYWpzx5Xm7sSODu9yuJO24AbW8hqSwir+PVHub1/Q/PD89Xp+vGU/
TXV1QINWNt+yRbKFo573S86D1Qph29fPxnzrf3WdTwueHWVTGoZch45NejU8V7PU1iVCxPR/MW39
lB7940PwaRbq8LqE5tClCjUXPvewbAdSjRFUe+SGBIf+V2/tZysgbBTcrzbp8sZnSUZmZoNlwTA6
9EBl8umxk45ff3Y/WwDfX+DTZyfnBLl3gaoeoHTNBWIvwSv7ldTsVxf5tMo6g0NqKeOag9OdTNWu
Ma9U8/7r9zG/zs/3wPv38Wl5HNmrBdJ29cAM2B3SHvYtOdBnM/bg7UL/0xPe0+hJFHXx2vyf+W9+
KspR4MVt/uvjv9a//3vwUswj1Q//ggKYjvh5+yLGi5eaLsOf7en5T/53f/jHQPYKVe+///XwjA5p
GdWNiJ4atpcfhrU8n39fHp2CV3v6+S/9WRa9kbRtlHfz9JS2On/f97KI7AnDUlEVAfuZvTV/mW6I
nqAqcphvcX+DMfveon9jbBO8SBGD8UOV/1lM4pxz9e4OYXXU59mu6SiKyt/1O8f1XTFRFRU2rzAO
j1WLOH1TvfGqDeugAEJmIhW8wayJ/JzJ1m0Jbxhj8oy8Jja4EStYNKCw+zcsNuiDDfBnzX8ApBjL
Xt/nqXTCmyavVMH/oHj0ZKTgqCd5lGET1MO5fGnVAdnJZHDKcdPaISOdToHFIawb6Vug6WV+MS7E
2FoTzLaoCjcWfkqgESTNL7QBQOmmCoQTu/mMKTCrPhWHAMsnakAGDJYX0M7AHGubmHqbVnoxyJVb
/6/c++uXYpYF1B/v9f+fb/1ZNvP3tz4nA/QOiwfx+PAzlMH8y+8eAXSAMI917mja4+8fAfk3RA+y
Y6oknOgEsXx/BDTjNwV+JcBjOhxglXTWxz9PBtpv+NdMfE8aJwduoX8kcvi4m/AIOAgwaPHrPIk2
SHte3ft6WguJdm6w8ZyFDKDqs2G4e/exHH9fbt+X0/qn/XG+wvyEzzBk1gFCXD7tj61f641vDO1Z
Oxlz6sYrteFZ6scXhmheGywSglt7meka2D4p36rw9kQVe61V4r6XTGw8vbbOLbGRavkqbsOVXpfP
EihkNHR7ACODWzdJv5jC9KB0ipHsadlU2iHAA9Uj6YIMyYfoGmGVUeUU41QvetnYDigNgNrIJCZl
ockTHVn0+KP0GcwwQWqTkno6PjmOMoF0G5O4Tk69/tSG0GcbxQpgpoTVCWFtBQQF+4ApWPJSW9w6
Auo++jk6DrpOssXQK7RRi2alCJpbo8hPyPe8hza1h424dJxs3PcBaRRpXmzyvJlIKa+ufCNda1ME
2Y8MmWnK7yW5NxZQ9F+zRDo0A72tGvfyqsUPBnzg0qIalWTi2CvnPpGlTV62u4YWCFl54/mQAHSl
nbgIJrGESr+rLOvBV7p+QesDArO0bJPooalxCNaWvtBZB9MgPkio8Wn84wBW73Bb7ZzW2mSVsdfz
ylgKtTtN0UuYEBVFSS+e5gZBT863GEM49uv0KHyqu3oKT5pIvisrgplHKd7pkn4FZpgZwUSHWJv0
y0hDtRrWQ+i1drQdUzpORozlyY/NtVwh0i3M5L7VCduTmUSBvl4wn+hW8HR2WFpcvII3Oj67PjTO
zJqYj2Y6JJF+EWacvVo/W1t6dxr2YluM/TYY4puwY0aUOf0GkPIeFvSlqRSwO+L0Rs3rb4pvAaZs
V4Uwd/ZkrKRB3JM/QJJB46wlrb4rePPqmA1raZyekxSDkBW6wjeWWjLsSyiwi7bC6aSPNH0agK3E
EfqLwLTueQroncd3gT9rLEjDXTHk4rapXsci3thgVXWtvJ8N7JIkX9Z41kH/xkuieV3ZSB+nxD9P
MrLdwzHYJ/FsuMA4s9Ali1h2Z0YrhW4QBbRPs+zRUegbS8QGePZkGaf2QNssisyJwCKFKbF5GTv6
bVvW4FxVdrm0nJ+euGdcGp9ILTZvtYI4adB0nAPrLgYbi2I7tulJF8hMCE2t9pwUBodK5LXX1+ZZ
0KimFxkmcyqokE7l4x5wwD6FOK4xcDOR5vkWHczjbJQgdAGhjc4GEZn7qjTlJUynlsFbGTC8TfCa
II1a6uBCaKFLstdMOmVu4ycXhW0SlEJX8KQ0Z1PcqHLSFicNBKVSL+tt3tLtAyYeLxS1qjcMWGIv
iNo9GzRu+qQEtUumArk2jjcNKgZxPS29oqkK5ExRerBSmRCiVKrPcehhyvTLJ2Mavwlfe7CSasP6
dhpjYHcd8CzLMZX2PgAupqw0lxPTGNyGGLPLYo6nXCiWnzJGzC/6DpUPujNIuzZdbYZwsb7E4NES
JJefwJtgQVR40VZ/nrfs+6UFibOAH1L5G5qGc/agW07NnnjldWgAdkjlGwSl0Jrmw7KfrvMhuddj
31jU0cxI8U2Oo0w2fD2yHssepNM0Vdhf9arPrhIlI2840taaVQDjnQCChvaUQHCKxOlkJ2eaWm4S
pz5XKhOwSo3XEvMUDiFjyZK3VRW/9QKNc3c6dtemVF5laua2GeF5yxornjf2Teaw5rS7XjaL+5wg
LdZfCehpKC/HVtBaRdCzFCV5sPg6xchM2+o2TEq7Nd6pcc3SH974FVdQ2/Qqz7RoSc/B2bWjiHdp
HJzlaO3d1NLsLZ5jEjEL64qoQcheejyrs9S6Akrg+4hrqyvTH6/s3JhuJz+numqLekVnG5lCP6ya
EeJTKXf5GiI9GA9+Eeep0d6KKLVXgz0yVqT3G7Irhc1GB5u2ICBlpdkZkUtZcWd25TbvwYRZo9fW
xUEerV1SjddyGHsdEU6IMsLrNlWv7LZygLkPHfb/WCwLPx3nLj12MFm+0+jVLbVBr25bs1SWZYGM
DdlEcmFhiV0QB3+rDqgYfNUYmJFLDjmS8uh9vT1/OobNkGAbvw89RotKWzFn8fK7ChhTrqnZQZyf
NbPucACcavbnvahXX1/mc1Ptj+tQ7xszL/XHIqCxEIwEYX6WwROvTfWaVelo44ZluRSLfmQ0LMZ0
0+EzT+1kU6vhnlHXwlbzE1aqPd0RAgeS8xALpVnJnhYyPEIzkgf+C1niiPZ4BPSJBAE5ePj6pf/0
E+J4gmCIWHb0CR8/ISNri6hxkvwMFcEiGPH7QtctftGneUvseXdWJYvUctDtk4DBJ2Rwo3+8Ss10
ZMyStjsrCZ+G1qxvNdp4C9mv2Dcwr80eyltCJYtz7BHLEeJFb/e0ucaShUqDABNnGCCn9pzOpXOZ
syu1RXcGpirlKYGtbKjxtDCK4CwiVHXwDT5zlefGzLAxj44xXRhK+pA0qaukQbSe+gp+jUJsA6ne
AIW1J0moK/IhcMdqlclY08FSXBEhF4pkwVZEaROacN/VF+zPD4NloOYhrmCw0tNxskCFW6PEqLWP
T+WwJN1yAJVC7zBahg6zSyUKvvmtkl1VvcH+oQT4pEv8embZbEwFsnHBFqcgIRxjiyAzWT0A5QKl
P9FUU7R078sPLcNNw9qyLt7ZUprxlCubMdbvUoyrXl7mYME5w2nEIE06pcfAY7a0AhCdg5RtRIMi
K1OGHX3IB7QD4dNINqdsQtCz0vBULWZxVF2tmMIDOFKHi8w0U2IbQKaY/5e981qu3Mq27BdBAW9e
ARzH4+jdC4LMZMIDG958fQ9kXUlMKouMut0vHVFvUkiZOAA2tllrzjHncU/O7RdVMvRhvO+P44EP
Ej740gGgS/7reMAkUBIzYLQnS1FfNKcBCUja4Mkkq5wee/QcNhRmMP54ijn6dpzVLjPqkadCPnkE
mF8Nm2Mrze4wq0ejtB81nWZukxsV5C8ZIpCBqz2MUaX2dm+v5FLPtyqLuj8oceXbtcR+hIlIzsvC
i43qBrEmYpCowSzLAZRuYeUWolqb+UzJw3xxlgpLr5SWV+fqnYlCR2+m0EdB45tlQ5ERP7hbD+Zj
Ypu7IVC/Y5ZLscQyDZDGaxbjbeAkB6uv6YVrN6ZB1Cxq6W5Sb1CBHdMkuqli4zq3nI05tY+k1esu
+0Z5ZVYde0Ekx0039J69JDppxETIAbISxZReJMaEJxztSdGkRyXqK7+iy7aKcEz3M01laSxhHtQb
WU52DvAblYAFViNfT4EE2vawt+qER9JTLM3ITMjaW20QJ8ceCSCaXrSBdFeN9hFpgjBmQJIWftqn
Z3qbB6sw1wPRe5EVw7AqSJlz4qtUSOlusudV2YAFyMCRCTY0pRlyLuFj7CXnigSIH7ElLdQiuIxd
sm7bLsWjRtM4bD1FMQ9mQ6aKRnXaJjFvhZ7YG5YdatpFB0kJVqkykLCCa16KLxclQRiRKp+SaMkq
TgLv1lYgY4gG2RlOh52u+wpSNT8LhnXL8l7UufA7qUr8LJU2yWDvZ7ymlhMLd1BC3MUyk+6sKusE
yq0x2JeBrWzxR+/DoTpgqGbX22bSORNLmTyzLvRw2As1qRCBL0GCgibBICfbCL2U1HBKyGhpawhs
aaMir7k0jZUFmIrwPzqnJnnKMEut/kHIcLNy+WjCDVqNgX4gwgIVEX3Xfaf2Fq1bRcEkTpbC0M++
YN+wLScUyZNpbeueXYhVtqg9iKDqg1r5Ymn74kv9WYF/v4JGzpQ4Iu1OJut+3xxhDnhjj2ZnOKf1
UeHE8vl69KGC/nOleDczUAH7dcWOooLTBTNDWb4p1vd+vO6dQxE+wnf9/EJL5tI/5iDKdrpqUSSD
FbysjO/ubGjavkrkfjzNqDJXIh4bLw7UW6MJy11U0rlIx34vBHlypSIrR3uJDzeTUuIwQTrbwN/r
NYr0Q5ftq7HQbBfO8r0Ul+dStm4ytm+cery2UW/GkBDLog3XeRs/F4n+IEWZuA47AF9GFLWb3Oj2
RgL5XlNWk4LEgi3epmg164Hm6o2YcWUTz9xp7S7W1P1MrI4hnPOQ4udm2YaItU/VRfMlwYMnHFko
D7moEYwHu0EQh5KhGmiNHJwhyK5sCJ+q0akf1CV0U2208Iun+mu9BYY6C/37h/qhuJ6aOoE2gT2e
7PE5ml8n+wuf+Fd//4eFQ5Yy9sgEJJxi+0Yk6HS0uy+Gxeej4icZ892ooP2QyqkaTidDvYyhhvGY
5GjyPr/Ih9L9/zwlLEFsSZUFOv7r0ButBhKjzl04qqe239ohZ09yF4/WF29D/XWM/yx/EQWGTpvi
F1vTn1bRd3czQTwcwlmoJ7Yx31jU/NtsHfjSqndj78Et3Ied6fWH1+vYi+7H1Uu2ml75oputtvv8
htWlzvbZgv9hA+j0sSOckGmkXeN28OTVeNNtyOteOyvHy+q1suE5rxWvdmU3Wjm+6Ff6qfj2+a9Y
yvH/+BXvR+eHrkwGTMFWa57747hTV+TTrJ1Lyz03qGj8zYPhHeC0bJxTtB63pHtsbwM/3Ixb5j13
3sBvAn3opr7jS4duW2yaMzwOAAv+fel2J9mbNsbO2ZX7YVvf5eubz3/60i749Kd/eICS2sRoWGPG
pYtbZd28ibW4VfzKI5nKj/x4RVzVRbm5/HZYdTtUSKOXXEBHvkhOocfiAwTR/R5495//qp8d8I+v
9d0DNT90yGOowTXovukU7Rw38uYtEWq3BblOWKVc0w3c2oNYvkHEs1WfKaStPr/+8p388/J/f0cf
ZhumGmlqxDSe5LlcWcOwn+Fg9R3qqM+vs8wqn13nw6xjI91DlJVNJ/bUbj98k8ftYL5O2qqSW0pR
68+v9vtX/dddfawoSzmTv1El3SlCBDkF1yK8+r+7wIcznzbamWnmHKBSY68m1AEdy//8Cl+8GGv5
EN/NO1Iu7MKa+NBKcWrydC3Uxxki1ucX+eo5fZhFGyVrIKMk7Wlc3gr2PGdMvM8v8dV9fBhgXTk3
HcDs6TSgFo/NUw7NB0vt5xf5YnRZH2YlMwilieIcqwEKet0pVmnWnjWt8yzkgsmgnnpcWJ9f8rf3
ZfxMwsB6DNbj1/eDK1kLRNx2Jz3/USfrVIso8m0+v8ZvX8+7a3z4aLLQaaQq0seTkejU76/y/Iuq
wlcX+DAlgkEdtQRH5klm0qYYnZIL8/ktfEAp/Lmd+etT/IghiWKaPkHGOOZs4FZeeAGy7MgRATWJ
F63Cc/dl0M1CXPx0rlnu+t2nA2BIg8QVsUY9UhgumFWPIdd2hxflMO9693L2BP/BNVagj137SnKv
29Wyql8+VZfaBad24shXU+tuCy/afJXD89uFHELXX1uXjyMnrgdZCfjolPOykEtus8n0XaF4brrR
/YfCvQAZvP8hv3I4q++mPZLwL2avxVH96RP68N57qcGb70zsJXzgy/4C3zNdZ5/5187JPGibzn9S
18S4U7FdE2yx+Rp38dVPsD6sewRvIlcfRHuS9qU7Es/lJt+NNYmU++5t3IpVfrA2oK1/hE+aN27S
M6Lxt8+H5gfp0z+GpvVhnKS9lutNwdCs1+O6chU3XnZ1u9S77XcYtJHWu/MJnu0DYX5+vhYb67Jz
a79bEa/qRs9fZVX9PJj9Y438+3P/aCa3JYfeUMGUUq30jbmBATau5/V8iPeK+w143Rq/605sKeod
MKfcrdC68YraTbq+if1lk/A/m4P/17KV//9a9yqv+t+37o/lb0mx/Jm/OvbWH8CvcNLTlce+uWw1
/xStoGcxDQWEDDnEiHIN1rs/tbz2HwjXVfw/RBN86NhbS8eesD2yB/5zLa/m/LpL59BiAyYwoc5C
J7DQFnzYPDQzcJQO/9wp1Ir5UAFCYMIrbYTrvjSG/Ty7c0BhxJVUM8p8uw2sEtRpDia7i5OfaEc5
O9qLERWQX8g1Qgo7k6RTZO4wpq/IX8Gvps2DkWHub0EePgwd0HR/lkN0+DgAJEfsGr0mgMnpDXNE
42oBko6kMlxbRi153Vg8qDK2Hg1KfFtYtts0JB1Vvdy7QM7pGYVSgyKThj4WkbowyQbO2ahP8nUx
LRB0hVZeGQiw/Pm+qIKDMoz37GSXkjKaW5wxm07ssjyE6xfiyY7NJPZSq4VzP1qwyW0Ybl0wczAZ
5wfqhpcY2TqI+JqLSYXK4wg5Di4Q9c4cbSq+IXUxrMdd/9iO2HWUMNvnsWxAd5wum7KY1oPZkzvZ
OSTakSDiadY8+mnLN0zM4byajJqGpKyuCJ6d/KTDmzvY/XdJH/dwvumeQor18kD5Po6iRJ9PTV+u
thRWMy9XskNiq8KL6/q+M+DpJ9VwoB/QeX2MC32mIEpq1LqyOubsNPDyxXoX1IHYQTEK3VEvT4la
XpP+7gUWBhvS/SKccBR2mfNwudC4fdUxKLo1hc1Wg72bpX4W6ZLXi/BCD3I6+Bi3MIIhtm3HxK2z
Ml3bk0XigdYec2lW1mm2hKISEqyE4UNXEOGYlg6s7YkOnWSGlyiR6DE6FCir9qLvsK1Wcv0QIrZw
Z7bQ06TctOG4MkcoFsmobNMiuQ6L/hAbmp/S7XJNcyaHycB9ITA/b+s0iDwZ6S6kAByQlfZWZkqz
VQSeZaMoiYYq2k2k5VDJ0ztASPc5FlMku2cpEuAinZTGe4Ysys4Skh5IGrJsOrbQwmXtSRZU/S1Q
Ev2Q3YypsYNZj9t1YYpGNnCwiT0zA12NKG0hTtGcWd5Gw/BQIKDxE7V9GIPhXtGbW72hfI6VZFNE
zjlpDCymIG2N9nW0EB+QMjF4nZUK3Ij452zI51rb3QQJ1pUyUTq4leEubPRwW7XVNVLlJ4ioz5WB
z3CMsU06Sby0f3XF0+Xuro9lE+QpKdalGV1IUnkhW85LMcMzlcOKGkmp3FD3Wce1fisaGa1CeTnI
5O6MsXajE2Di25FMgMEoncJIP8aWkDwtpYEZZ/CRrWJTKNNLHs7jNp3CbddjH6JW5niFlBaQXbOS
OnTxlBRLatCSrJ2Ns7135AntsAJUUZ7rQ0yQVD5ApQ/UTF9hizdR7wzrrJnOiqLDP43g4NfVSVjW
HazP6KLONfxdyviWxs51QsPaNTWBnj4bJ5Qj04+hzxO378kNDkJV9yBe2WzslmBki4ZWQLYP+Z8M
HVmz3FTBB1WKGHfMVBoeGU7bNBxfzKhlBTWLYjWazrEzqqMi6W8plFq/HDP2X8CcPYO0g5nUg5r0
g7CMt9NcPhU/YxHIR7CWoASBYVteohPsUcK815kgWVV9F7Z0BOclakFRk6NC9sKEgX8ii8FyVGCf
wT7Pkl3UVjdBVP1AttP4RI8cJtIclu65WOIdtAmlhxwR+eAs4Q/1EgPRkwdhLcEQCQkRxRIVYS2h
EVmDo36JkRiWQIm4H+6dJWKiKyW+6SV2oojTp3EJohhJpEjp87i5rZUc+lTSQsitUIe3oSbGwloC
LYpJ30dm/jROPFHFgWQ6tCqx1uU9bsLFBSfdqzrkrZC8B9r0gEI1cKlN+c1R9ee5ln/0CoNBFOat
qHlhJHFqvpG1DVNEgZ47ty4xEyMXCBQszYNEwnx/ogtEVJwJRDw6z7kOBEtfQkl7DAozIS0Wjh0f
u+muK1NQxRRJd/pg3KgieIwskozrLH7LB/yVgT6Qswl6atuk/R2doNmjoUSzi0RdkLM/Nwf/3SUt
PfpPd0ntG8nqv5H38uf+3CmRFglSH3oaNLh/SRH/2imRFol6EXqXaZLW+DMS8s+dkknEpGMC22X1
fyfuRfNo2TYaSY7bKk4lfuCfAufLf22k0Ub/e6fBh2LmUtvV8PM6pD1psNC0j2f4XGQ6nlWbooQ2
92shBzq2UevJAjpTWt2D2pp36XwVTP1GrZSVWtlXXRveBdmcerDHNQ/TOWFp09E8JKH0TRvSuxxR
Bs2GOtmg5Hs1W1j40xDuRJ5s5RCoAkvL2lDqwItIKPNUWXmWil68Km0Rk9ubDSumuYCgooQ8ktrc
BmF9UQxAQhMtesghJxeT8zRDV86EjYs6rl6mJL1yIu2lNpXHsZ9Uz2zHxaZfelOUlr6okn3XoWgz
KFY9TLL9HBORsS8EjUBlMJD9iuQu7bJnBCrzTs85ZTSkhRM2uZ0r9blv8pODUZM+2Q0Jhyldm8op
Yfokw10XxU92LG0HuXxoaim8sFThO/i986I/KQlnJuox4xSf9I5MugkZAOrl76Voz+weya4xh5MT
D5oLcWGnl2tyB9CugeZWb5ZYYQjkbfpUqRGTn0g2TTMvKKrez3S40a1RAwFKVNjIeuCWRtPAnHKW
BiGCg0A6UJkbtmWLozaIu9VQJteioS8qw7/SiZ3y+izbVmX2vYbc67dqA1qolje1OUee0XeXk+1s
5YTlScabuYkKGOQxmP6s4HoZ6GwjnMFv1K/yTEhnIwO9xMBbwhwmCs9Zwo8O0JFpcTqnXOi+mRiL
DCNBxhkRAW/5uMvpguoQzTPZIHgkYoIPoZR75oAfO0t15NtWQystbkFXWDhPp9gBf58THNNaL3g3
d/Ru23XXgKqQIWCp6nQ1WCiyLAVaaaV9m5aGql4l14XCnjnizUlCuzNQu1Z5Vq/w6NmHSlJ2mV0e
sX0/9/l4HzX4lSubJM5hCvzZNFkukw4yU83GJE3aXT+1pd9X6UMXowmcbdaAOMqvEO9qXtqPW6Tu
5RpxK3qwyRzcFMeUSms7sQDL5+W+FOKs19E6NeUNUhLQ6uynRE8qwpRpNwkaVgS7+1YZjuXMyYQA
hgsCkg4IDHZq3hH4h3wVJcJr0oQ7Jwo32Awz17SbW8ALN6KT7mAC7+SivOhIli5Nc5fK4VmSi+ei
ye7MtOKhzsNB1+q91pXHrk9b0h6J8Mz7zRjEB32Bv8zDVjjlTlnoi5OOcj66CHUZceek7QU59kMj
X8qRnq07lLJB2D4OGPmBCMxsq9qz6JCVIGa5IBH12ojFPo37LS0qTP5ZjsmtV8/4TY6hsCDG96RJ
TJZLPsVNUzYPLIn7YEyOXYQiIJyuC3R8VOOihzTDYj/ED2FqbYyw3OZmbO+IfNoAlYgYHe1RK0iL
5LwJMSzcccq8yqUeSalcEcha78iQfZRHcrVtOct8R+2uUcIeuiUtc7bouIM3fMRFsLU61uqp9dVx
5nBmF0ciXp9n29kMEtwwh21a3D8VdbdtDPnH3FAuBruzmpvgMeYQzNFuhmZ0reJO8TJ7yIiiLA3m
vlEDXKLnM268bO+E3UF30t3YdtT8FWcfRdFZ77N9EE6DC0H8OARkkMVOsQCECOeuMwRKzqYqnVNd
EPVlo8zLK1lBSqrcx/jtRkV/0FLpRDntBlyASWan8SqUka8xxIg57JVQehjl/qwRcivjvIpMi2yx
aXhRJY5BsQhJEIArU7W8i1ox1kWHuAk+z7PQtOPkcPxt43qblskmLcRANKpyTyzARdX0bhShh2uk
K9gViqfqtzQ2CI+fX5PMupnBfh0KoxI7OaT7kBdHqZADTN1oxmfjWRHmxlIDV9cGY5u0pr4a6lHd
Limzqhq+pewQsXks2BhrOigKW2ZFQe4ko8y0KpRZDArhqSN7ezOUt02Ob3GIbyqO+lMX3gZ1swU1
w8lvsO8RIW6459twyh7aKqKwpV+mi4ZWBqCSmBPTyrgx9PI8tOFtLM/ExJr9ViLnvp1xATbm1Zwp
AIIcHg1eOQz52OWnq75Tb1LQaCsZ1B1yoAG8nTJcCc08NnRGzBWwNTVbdUMV3xtY3Zn8TWuvFphO
c1AdSHJMN69IKIltlKIpNQqiaFyz5pZAwW3ZMG6ssHAQABo2KRp9sZqluFq8nLEb9sAz+i5/7cH+
EJqbrFlhCCqxNSSSKGhHtLlG2W6DiAStMWtZYnqnv6CNjwEWik5RNwTOEEKXTgWgkaRWXChx9srI
soe+JD9XnswlkdUu1giaLMnNE5OA+zw8DEorzkWltI+JYkF4MeZaWnf2YFw1Q0E0tD0jQRsynUxG
EJAK2ESkB7MiHci4uehFfKna6Vofk5Wlzvd5FVyHqJO7SiWfB+aMmtnoa5TqMYAcs0DuV7WCxLZP
x02H1mqlte1rn3SektpPeqAd+4HAFYFwGokT/gkY380tqtHJt63ohZn1XtbqLQlBZ9kY34JE2+MI
AG5HnjEDqfQaSXsUs7G34vwYxJnGDjlHWg3oX5BS0LFEYysiJKIOzgmFjiwtr9uG2GFYijsRmgdj
jLdKPUOGEjv08mgH5dSPLZJizUS7cob8ph1ZMMpp8vOiuC2yoaA0ke45dO5kWTqCn/HYCm3Usdq1
Aer5NNqFVrXHr/Bg6tqeoO2LWmOl1ex1aotvHIxXSRpejQE7hYnQiDmIVjWnYaNq3/LIOUgFMc4M
unHs9uCMvpmaHLqNU+xKOb6u1WQFSwg/APUtLSf5bZRvmiWjti0Agk0kW0xWuJrrASADEsMAOUnn
NOs2UbZ5pz7CAYZRpIxrIpkp7mD3DhiPcZFVzO7pY0avifA0TJ1wM50Uz1YXZjtJJPeOAxvLni+h
M9AhapXbaQBqmYiHEk8/J2cVJX4ffw/qsodPRLZ2G2knbCenINSeR7lFN58ItHbWJnHinRPLDlby
YN+n85uYjFMr8KEwv7cHU2WwhOVgUFmiwhVNQlkFk2mfS6W8KHTqCRk2r6iVrzJdOpAqvITbaesG
shLxypHi1g3JAdFkPhkDkTwOMw0BC+NhHG1yUYbygajpKyGZT6qaBGsRV48yWRdYJrt12vQZaQjc
tR0oW2eZeqCxuKgyo21YZ4kH0vMoQNSloTSf8RTshRLCWTGR9VR1zkkR5VA1VYWv8280PX2lR1IY
j2KTzfmOmgHy0bY7zPWyahv647hoPRMgJz72bbIjJv2kpPEpHVIPoXe0s6K5OQiCM9x41FDqZOHF
UAdXTpM9EYakb5fP3dQWTHnBao5eXnuyo5bAZv2KOmJ8cACs2IrYhUK+VckFnEtDJo2lo5ABFC5P
D1UobzpLr93QyH8ATkVEq6kcZu3btC0vYk74KeXAPhvGVaO2j5NSXTtjVaCJtE6JEp5yK1lnlj7t
izG5rzLnSR+1a8IJyr2hAanqQhNRXqs/zTn4DzRSCz6OGkzPXyxVyroEgeKLQu+3SZaRnEUQFymj
ei5rN+C7VI4RdU211s4mXaUUp5nSSlViPO7/cXPXMfGmWai3OEsByP6106bGsgwdrojPiYCLXByb
eXQd/ebdsfJ/zm3vDWJLh/jXtshyEVPRTXh/C4j714ukwVgDTWpiRPQ7qTjKYIwWl9Bw+/llqNn/
8zLWIsXA9UnB60OjOpBlh1OAzMZd/TGUd5L2H+uuFpubIquQKHlcH59V40xmWZp5di4GBtrWDr6Q
of/m9wMXUXlCPKgldu7XxxRaS4HWqPKzzbnDuDScL3rF/+yq8hrePZ8P71o3U4XyPc+HUEeYeqmy
rjHEUW9/yxL/81fxm0uhKDQX+raBhtn58Coym3rhMJfpGSUoYSmt7CIJD3WPZRhR4efXWn72h9H1
y2tZ+vzvmsWyEue9ZWbZWWge9TeDc1frM6dO/frzC/3upt6//w83VViJQ8bIvy5EVRyqxBitWUeW
pVh8MdaWH/3xpvAsLwAA+OjqT1Hbu5vSDDATLLzFudHWQfbSA3wMvn1+O78bbu8u8XG4zeA3yxBM
8LmwX5LgSZf+F8PZwVGByxs3JADwX99LUoEr0iW1OCfMgBRws+l/MXnRIZNxtGp8NubPDvW7h1RI
Bft73H3n2XoZrFO3dHzaL+au3710BjE+dX2JKl8iJd+PLsKVRYGeOz8TP0UQ3tJxMa56tPi0yrQv
RvJvrmXL3IaqgPQgi+PDE4sCmyJbYhTnaDlTr+IliW8FDbVkj3X98+X/t+S5SJj/fcnzqcx+A3la
/sxf5U7lDwBEMIN51baDHejvxjDpojoQATrDnBAt/vF9Yxj/Az1hg0qksqw+f1u57T8oUeKK5Eum
Owys5T+peKo/F7G/JwYqnqQPsXlejGMW/RCHH/F+PLb1kBSZmuCHbAPi121g3EF926p55CUqx/9Z
KcrbuFeys9rm+U3TBbiqZQWWEVlM4AgQa5KRTJ9W106L+XzVZvnoTVbyps0moG0+tz12i1enG8Rt
OZXNClTleOmQ7uflOS4Hh9BvGmP9kXQz1KOF4/dxVJ7zkAINSITwWmEh23TYrVYhUWl+oyh3OV7r
bcYWmy2wthEGoWuTfRtWHboNPYHYwtHqnMVj7ummgxXaBCS5HH1nNb6r9KE8RupUrFvilz26VdhU
eARndEnBmv21QyWwNM7hoFJgzEEwDcIiojjUYK8VMzaJ0IIITHdUJ07SLbr80FXTJnWkpwFTASGn
nUfQO1vcSFzInb5KrVBeqWF/kdbSvi/te57msaRTzeSC66I0u9wt0ujZ6HXqhbBEMV89hJTVaqMA
XhqFdC/C+KbVSS3TMgnGZqFYnhmG23TGBi6Z+Rss94xIR/PCrDk9tDA+oQMlOEEkI1xHwSATCDfT
i2Pj7ZjippSCk55Nr/Ycb6kxYz4W2vdgai6lhg5ranPmrtulsourQpvZTs/BfDJKXmkr2J9Pw2Wa
a6+qVj/MQ/pNCrDjlVF0wdngbJK06FpiQT6GMq60Qd1hXUMk342NP4TOGYtt66m5ToiieSjH3Kaw
rtGlUqInEc5Xuq7vk4oylETZiR5VinsqWCqhdpXaZ430Ve1VphMw7SzOnisrCvdSALYWVG0d+pkB
GiiyjDepgUrb2dhkpWlNCgHeNCbCo9xnF2CnavpZWH5V0p5pNiRketJ+DmQl8kODPOjJICa2wq3S
SLN6XRsGYZJ2jR0gTL9VqtAxrsXTKs5JMCgTZy3LaeJSseAhx02wQz2LqM0gQHPgA/ew0221UFxn
RTEysvXdaNNvgvgh3xYRFkVyuLdKSfh8TQkd24wJSjoACanD29em4G2CxhzDlN6lhnFbt8Gziuff
s1LNsyznRE5stht0g9rJ0Mnkcps7Aiv1s9VCXaQc1HpCic31WOs3fVrSAm2NA8dtMFv0DTxZMi7q
rIsvlKncV3qm7Koy5i21yMe1x0YJztIQknhNb1CnaoRzmmw7J683DelYGBsj366y1ygzqO0JPnU+
EyGsccltfRZRc4GuQuxSiU56FivKORqE5gedFF3TqA45gZLBScbaqa/oxCaOuVInh7Ju0TPOSVog
+Xq8mhSad1MlYBBMM1Z5VQ22ctVykiGSaTOFgePLGNx2oir2YSTjrg877aIxw/miShRpo5dYP8tK
XJkS4d1zOl1IcvgopFy7VBMMasx+6U6KgWVHqbiQSEMMxxBldyKeKvJBfzQFFIeIz/jKSpI3XCqt
iglKa+t/LdX/XT+XgJR/v36eXgS7wH8ghPgzf62f6h8yJz2WQIvsLWdZJP8UVrF+kmTGkgbHmuVz
4Sf+2S60/4AeBJ2ELiNtPIAp79dPxdAXQIq2xMj8h8R+Ft5fNtbL+klPkl28STsTwor24bRQQy/W
jV6dz0I0RFlyRHdrh9wIYUx3SlJtgiVhYwAKHIjuVe6C59jEgiqP+r4xggylh3TnYDKUjelozARM
GsTtIo9tEWnEZzPO1lNgX8pZCDsU9g9TsrxJR+c4aMahzMuNHTrbLlEpyIHlt036kHXI1NaaA57I
slu3mvImmcUekjZJeb0eHq0F6S+JNHDtylhNKs36SiIfFuC9bAx4H1X73hLaJYWzs0F8jdvVBXYx
rc/uU3OChZBiqjWcK8z1kAtTrzCQikwGqdhhVmLab/W3oQyT4zx3AiIO15mMfjNLdQiCAKi6SflM
SuU1WHFaJhlxBS01LNaEUGCmDdOVKgZAHMtkAi8FYqqxdphlQoAQ7TLtiL7ZdD9nolJPNuMyOVly
tC6HdFsvqo1l9sLu6tfLfKYysWkyQFiFqS5Y5jy7lvE/p3TklvnQGcybapkhp2WupPPKXTjMn4j5
ceszo5Yz7FtjmWXZO+HX08jZZv5tmIhBAt4my8wcS9pWZ6rmlF+4OUGpQHNyv1nmc3WZ2SWm+HKZ
66tl1qeXCJh7NHbUQEdfZ2kgn2ZLTrflRcuqEc6sH+WyktD9AxaxrC64soCsI8abl5WnCtChQN7/
VisUOPtKYZu1rFTOsmbNLF7RsoqxSYt8qVXwrQ6yk3JcUnMCvYNiZ8Kb2MJ5wjUp2elO2IY/WjoE
KV3XXGo7yaaFtV1ta1x7wY1NHMOFYkbfQ6kUACpT52IWUYzru97VVXhLuxNFUatudUm0HuenVRN1
xqq3KZj1Rbkv7PrYNPmPcixq/PYDQUb9o2horyDguu/UKqFO7WheH4jHvrHlldXMh64YD3kuL8z5
5Gpu7R7vS7hpB+OIgIlPQrpvBwW36zBvE5XKnxmy5pGz09mEc8dI2XCClS5JOxtUhofMJIUCG+oz
yNFzL6d3zkgXOTeCXahWqLom2qqJUsWrOgH5EEfFiyOnxygkFiILo5XsOMcic7YtB1xvsKTvcRDf
wfdkmZdwdiWq/F2LxX2f2r4UZsC3bFV56WsDiLb01OsL+L2FHjkiflEmM70yU/25FeQb48W05mZP
6Rq/JEqieNbh4RvnsSzVI77aTSbTHxKWuddGUDY1FWhJja5hqpBEEE/PqnWbSit9svcijtdOD9wv
iOLaK4TElt1iL5pmVzbeYMRe9ZOQ2uvE7AIUWvNlZBAZD4re1wY8xYDuJcnczg1sojagVSzXZNMi
dXKzyDlajrOzMClDIfM6nbeuktzbk92xSfP52THBXbcg3E1oaAapN5mUhB4+0EM3zDtHxK+Eustu
oCi+nQ8OgVbJTZsZr05NQjO7QjqOlXUfSm3hKXnAR4wX2tWilvwn5kLXmbNx0xQQdP6VhvrfFXcp
vPz7Ffcy6/KX5p9r7vKn/lpz5T8Y0xRBfsao/RqRA4EPjY6FdIcy0gLT+3PN1WVydQheAwtmaLpC
Xs7fa67zx0L0WrhhChW8RcDzQZXzmUoHPdDHNRexDwQcfgWrvI1S59czqw7KCWzeBMQWBVq6JS8K
XC0HhGMSZJ4+N1d2ND8EaN/Uqs02nDoepBhERr7kyzCNAMERbpyOd3UropVW1ldmX24cXd53Ab2q
fNxpHFbmbmsk0lMZhhcBhyg7PCuJEx6ZmYknMCbHtxRq22mDssGE7JTppHMisYawFNhPEP+yla1J
LRvn9mkuOUSqUO41o7+MhxaPWyHF/Hd5P/co4VRNO2J5JgTCyu4LCURtXstvsWh+wGL4bku09Mou
hRqljje5PQ5ErelPwyQ91LNuuuNc+UASbBLvnVNhTtNe0tNrU5l6joS4KEagUAhe+R+D5ocRdDr/
Y/Ot7hVIOaWKPjVeuL9wTvOormhsaN/k9NGYLqPGJCON8DqCS7bmkuMbWG3tD9ow6Z6RkoOOUkVj
ChGAA2kMa63zosQ6lvl4JNAuKvoIIWGRbpGeVytwRKQC6KNYyQE5oJRMlkaI/X/YO5PutpE0i/6V
Pr2HD+Zh0RuS4CRREjVLGxzZkgAEEJjnX983lJUuZ3VW9cl9bm3ToiQw4hveuy/f6vOcIQwZGmPt
gi9HnD12ZxQwBt9Y3pyH0hIIt4eaIBPOVlNF4rQNwSFJLcByFeh2Ze0+l0tjrsaegDK7sf1VWdIc
dn3irCCfyTAKIoel9zifeTZtgkmEvhHgH5LSLY8BG6VVhFD2FDk67Iagb48Jod+7qYnnFesgMgpq
6I7IW61oZ2T9pxmU/q5OyA+psyjeg434PnT8+kw/qEPkp6jBa4qwFOHUHrD2R6CV0E3qcQQrwqPa
BPYh1wkRYEqQ3/gWNY/RFkAXtTkNA6Owd3ZuEZ4+tM7OT+oPORnBDqEzDMhGy2+IOoqP/OTwx0Rj
8eYrTII5p/o+0klVbXW0nYVJBosFuQ18m4fhUcKZ/F7NxD6XLaFDraJedL7WXIxeOQJigKAcJIjK
KgiCuwqNesgvj4io1vlE6gvhbU4+kcFaO6X5T1b6IpFVBVXCVefb33WJdD6JYFSOEkluLNmy1aSW
hFE8GkQgRYW7EQWacj5z8bHhvtyPS1Z0YSJ8pgyT5U9cXlwdnznieXAThnkuDXAVzKvaC7KkdCQ6
VQrLbbrPNYM2X8+dVWEFGYqy+nHWgnitL8ygSth6VB8Tmq32RYvrp7xUcBM/GMNELlM4SBy0QieC
wJvFI4OtGwHp6pWu01uZSZwglvDRY1esFMHiQI0DWOHC2SwLrz4EvfuR5MNrr0fbMfaT9RRon6Po
lLw8fbFA1aFEe55cQgBQwsKcko06RIITPwrYUxDB+ZxqvSrOpX+v+85NbSTHCvDRqmjKK0+3f5hu
8DTk2rQxmgm2f+Mf/KbZ45e8a5fgoU7cKNQ7LmHmXGQnzumKQmTeWSZbPFEgFfHJpB/jlqIpuY11
/AVezJSph79z4ejL2ySQvI8F84SSYY0XXfsWTI3JgoAFNJRPCoMRAsjYe6d5sbJREX0XflG8ulkH
9c8a2PTbvcUmN7CPLhnWKxtSC/J18HEt/BWp9wU71PqmHLU7t22VGDlLjzEykdVUxqQxzqPPW9IU
2K9zt9XEmRSVY3yWbLCgkSGd6dWHZ9FJR2CxK/Zd5SShiNJgR9xSepvHTbXxTaQ2nDD9rhVuvNKc
KdhVtjGHi0h8PtpIQPTIm3cTSUJhROIWEgRph8EiUJc3zieUmYVImOWApuZaR2UlLXFJlK8MgbOY
O2tEYm7pFd4qu023DJP0XR4xd7SJNNyb7uRsRIW0IskXFv6puTOtiaNe8G4TyafWHKmhCICJCcnI
ASVVnFJ6HRm7EWrA2QEZtifqJV71wnB3mqBTFHJChhd3eMolhT3HVP/3cOG3YFiVJf3vS527tx/N
m2S48CcjevXKn+WO8Y2RoQ9olUkkAwNa/J8jBoNBAqL13/+GV/1zxEBeMbcylzOjBjWH/0lb9b/p
lEGGR0StSgvEjvoXyh28YP9a7ngUXOrdsSlgS/CvqcOWGIoWNeh4PeW+IvykYOUGsHGVGNbSm7ot
eaItn0vHHl5GIS+qlo8EMFgPhl9KBtUcA1kofOM2jt2QhlWu5Mzg3dVT7ULvljcnMhfQVN3H6NZt
6CGpWVV5dGf1mntiGJcQbWnVfFyH+oqFfCji5LEjO3SE+r1NA/8oO/OIseszm+bHMZFHz86u6xzB
lGHugxTHQiC4G1JpVaiJDGSGs4WRUbfbdRwA9WJ6+SE8+2F0tdds0D7GgcbAi7A1TeM8EaIp3+Gw
xiswpVedPvScjgXugYwpwRBADCAcaoORxYDyh19s6EGE9XP5mMjybLpx6JYIjb2ZgJa6BzAZN7s+
PsXpwa2s27p1kTVGH4vSaRY3roGij2xVoIHudpnEk6zJIDWjH0nh3A8Ok21dfM6xXW3S3Dz7zTyj
7eUGG+KWfpDJ4NwTPtfnSb6dOnxwdcDZ2rjzncQSQWwMvB0aXLG28gTNbcG6YyntZS1TY1m3ES46
jsV2Y3dM9hMIllLDd9trQoHWzM1k5lxesw2qMiUPyik169TUSn5VUslkiFOODFluy3ZCesJafkdv
dXDYZm8aq0tRxAln30fBnD0WsebFJ7Nd5BMeJC1Y5bKu+PENy3qyKGeHKaVScfzPFrXOlAzXSdcg
i5Nt5526qGuD18ZZ0ncsPp6GmYfOOLUNCIpoIa89naEqtxXiJ7ViqdSyRaq1C2OEx6ZLpz2bqNdM
rWYctaQZ1bpGq1jcmGxwgmI8WNLZEU3WI/RhLtKw7dF6jt9eHy1ATkuxIyUtvpW2rFdeyza4ZWNU
q9WRxQ5pQjB+zxPAGMv2SnxxrJrIMWtDX62fYvZQrVpIeZk5IEpLPiqDamGxZx2NqXGlEV/M4I2d
FimG4KGCrt83auFlIla9q906vx5Kr7jP1GKMwXrCyISlFjuzrnNhGKmIlDh19pNLPnMfaVzLSIvZ
CM2IKYNorZEeuJb44EInRYrKqplZRhq5x27W36aoWtfJ+OjPdsWQSZ9X3JliE9sBVe9kawfiF8fX
TIwjEt062qR+V+zwBmY/Mstp9znKSpIn/GM2JtN+YGYSQqBV7EyGHivXCZrzaBnRJXxg/+QP81Xr
esEqIDRtDdqTT6YcWJ7p/rTpwNqeNH+BGGwQ4JeBeAy/juG/W29l0P7399H9R/Im/2TcrV71y12E
9oDdLwxNl2aaW+XnXWQxCQcmabOxNfHBcE384y5SrbdjEocOQwA0PVjZf95FwTc6cdRLemB+mWf+
0l3kGH8UxzDutrHmGOprARh0vwbrv66Li5ymFTmrfz0ESdZuhGU9xI6+F0WhHfs8Do2OA83RhnkV
Df2BA9xYldJ0Q2MIjp2TuWtk1MY2FoBWtbLe9UKyQjVSMmldGYq++hGbE0tU0PNTtMNy0GsbS+sf
Wyiwt7MU485tXB5ie3YPYvI2bg2nu4ICeHJMu2coasIZ8ozvHa2uHvXdnlnyFUpPZYNQLWE69bez
MZ09zDbnupL5Os5GwlVyNqaN7xK7hbllFfdBBeKyClagqwi1y7Yi7rW9IbwoFKrFwQj9bhSQ+Dft
gIC5K8TAPpPONK5IPO8sbtAsKozryGQsPvUFf5YExd6D/LtCjH5eVIHdeDqltiq6F1V+N5ZfbwIq
8pzKXFChT1TqXcMxh7X6rVNFvKvK+bIbHEB24haXyzpzy4tB09k5uBbQQMkieknAnDd0CIBkGRl8
NQ0E6lZ0EQHdRJXo/sGplxsU2vOGw/jJqr0fJR1IrVqRhp6E9J4bp4vu44FmZRybzUD30tDF6HQz
Tju2G1M1ODSq3g686LMY86NLDzSpZmimK5pUe9R3zKzpl5wi+KhUA2XYTI2FaqoKkG/Ksgi4WHVd
aTpix1SdmElL5tOaZapHG1W3lhfORM1CBwdXEmtw2z65NHe+O61L2yzDDFozIwOO4opWsFQ9oVTd
4eS78aalYUQYuUYROVjYH3Vy5Ram5W6OZDe2+5uq5eLXvZFsoKX/QeP3PCTZu4wLextZxnsVZWKb
TEl3LCJzFWm+tY0Lb9i6E8m2S42jIONx3fVoBHEG2ZLYHwONbGVbB60Pgl3sSy57v+SDUPqfsyDY
J2u/W9WIzJQsytAQLWGVLmOeonJ5t5Q8fPYrLJJZvk1pSt0E+5BHMuGaQi5fEQCbo6FNlk2EXdxS
QvYRK1qM1QkT5HRtDdHedIqbZCqu3cznxki3vXmQchONp4D/E6z+XVWP3dqdPXb47pNHVHBWkJQ8
WmLeRAKuBlxEKOofbdE9QzLVcb2y7CxFFYStFzTrMugC4OfFtsyqk2nShWnyAffHIavjy05Wcm+Y
KObM+cbMMbv0+ACwovK0T9O1zM3liO3kJWnTK8etyJ/QR+/Avv/SDIi87VD3YiAnbBbbWpllCyZv
qrk4McCNxEZ66EV6afbppSGrl9yYahL9Wuy8RvTAUPKpb9prU2b2Dp9bsJlosNBg2KDniw6CQcwc
ROu7XWyzWiZJZlprs7wd3ehpiXh/8NDb1ZLSfXa8LpaUb3GXbyqRHaKl+agLyw7NhcFhHZg49/CP
IozOVgE/1vXQ4ZSNrHM30vZZaT/Tnbc2YE8Me1mtf8KSu7DT9DIlnHc15dLisWblJ9OXxbXuI1Xq
Ar/31kwrtVUmjFu4EC84WJA4WsXZ1OgPjQXTVNDjwcDeVRd+FNIGn5uk30WFeT8kLdoGDddA5R9T
BuuryJPnHPn05KXaMRnzh9Tpio3eTUd39ilYGaV1k+moCiknwXbMwtxGnL/oyWkpRg3XcDltsNt8
xkt0X1dQEGaDlE0rTardlIj3pkIhUxIXq/vjslHz2nVBt8T4QVv2nV9tvdGj0q+X82xZY6gNFMZZ
EN9NVhr2prYPADUQZTBs7ao5Aq9gC2Ak5JpS6dOCu0CD3dLZRnJ+ZhSqgr7e6nZKd5MJxdkfhytE
Mw+mM1wuXslLzTS0B3vbiDhEYHORVs1etBGxAjxE63FxSQiw9d3sGT8Wozo5MWf2FFhs+ZOwNpqP
TqSnbqrflikOPRjeq3Ym+MkyXkqWWFGGTGEaozDK9L3XMYKJmeoOPAQ655HFTeFBAN84WYHRZPbu
qz49Ldigs46DMrXcMhxyb8+He0KYk54Ma2xWUxtcN6jid6Y9PuY8t6TVUth7Iy7GwQQ+SrVG6OvA
MIBcc52Ac+7OJizTpGcKSfq5TlN67atEdM1zzF3TNs8pYekOU7Y1K8sHzCgvzBZgxXEurNqOR4PI
eMiLJK8vJLBbOKV3DYoI3t/3RtQkn/rle6ti2wOBqZLB7nKFwcphbV3fcOedRhX3PlakM6gA+A7u
rqUi4QPZv0dqo6x79buVIM4UQbuOVJB8N0QnoyJa3kYpsg1K4ubjifV4pCLo+ZTV68h34LHpfMpU
UD2cz21Jcv3s1AlLwO+WirQfybafVch9qonXjNR7taK2EgkTL8p21BEKXDLcGQ4NTD3UHj2Qd6i6
hKu4IDQYRb3H4nyZyZY12mtVD8ez/ARHWa7ZRl3DXciR+RCNaqVg+rvq09eKONTt4GUkNzDUajDP
ceG+ZYnjrCpyPfS6j84ko544zYnfOdlDsktS2yEcuU/8g95lQU1iNIEELtZ8nbxkxC7DEupEWSe/
CbD/rqNVpMy/r6NVxObqo0j/dK7DK3/W0jprJ5dlFMoROABKavuzljaQjpCEw1glgHUT/LOWtnCa
+4SI6T9XVT/HOu43LOjIJJkloPNQIJ+/MNaxvhB0f1Beot40dN+nMrUMlmOq1P5Fbdz2M8qyzNcI
l6ZMyMvDkEb0drmLKUQ5ZzNvJr8GL63AVMs0J4Dugs92RBk4KudtjgV3UV7cSrlyaR3KlamcurXy
7KaYd0dMvCVm3kqvT3NvHRbl8qXmbUL47qirKN0xAkvlCOaqu52+oMuYhV1KJhTwfIwt/RzoXDik
RDgrMnee9Mn7nGx32oqxupOmePAMaYRLthAfpXlLKIP62e6rfpMa1YbkmZHKucJNWWrbooa8YWjN
bsw0JhTkta/aXh6TxRvTDdcNtwUuN20TTfZrlQ/afGZD4w/bfDJGbsyy7ejsgQtXcBwMG0MWDJ+y
HINtZbB0HtpZhiZjAFxDVjgQQ8M6Rdz0AmhbwMksSz9f97p47zzvg0VJgPfcd1ZWd5UPD2YLxDua
SXJm+YP7ai7vvInIGUOarwLfIpcFJi4cYcOacPgLN2rbY60X3zGjk9BQ5AlccWceGG250jbPdRYD
WmdyvBnn7F4nVCXz2Om1U6arsddzYZePdBHldbVM5SVTtHmteUFYeME1SsFDkZdXrdHuJN7oPPCO
kxM9s48FnJRZ86F0xbYvbP1g9LBkEr5vbIATvm+X2lDPCQTm/Tz5cZcehxT/GiCSceUbkaa88PIa
Sfh9rvyWsvJSyiDvwv4yY3bKl5l9WTQhbGPXNEb/tGAj11voM7oL8JuQFWYKlX4XY/ckLhoTVGNd
1xhBNayqjNLOjvAOsBB22dDvE+UcHbCQdr68ngKACZM5M8Mb1rbkNz/isBfodm0pnkh8ueca342M
iGAHxasAv+qEbxW57WWDj7XBz0o48t5QBlehrK6uMr1Sre2mYcQGa2CIJVjj0lUWWX7lYtX34oP4
8tXQ8N60OXZCyhBn7+KxRTJEVJLzajYsBpUJt+vz04IrF9R9hZMao66lETPUj98LrQ1le9/0FMVB
HZxjHL4V64eiWo7wFR71QIwbgRe4xRMMgocVFKvctM1epbINax5bDmUktnAUJ8pabCiTMQLatyAy
uMXliK9+uRrxI9OWPZkMhcpW25T4lU3foVPQ4TEoJ3OcXI84m+uGBCKczrmyPOvmvK2VCTrNtKsI
V7SQxVWvbNL0mt8HZZxG3HEZKCs16q2LPOefUYmOymw9NvLg474euuKCf7ngkcSY7SmLdvbl1sZP
xqX55eFOMC+ZBEzELwKHN8nc9MrK8621ewztLy1e8DEYQoRNO2H5rx2Xo+yBRQFU31hGv+5wkzdx
9Twre7mpRrmj7V76OM99o4bEjVkRcYv1nOJOH9uGPB3s6qVvny386ww1zqYytM/LcHKUxX3C6x4V
LMeCptoTXLBL/exJmNklguMHr0Brkgv9tsM3b1b5KWHDk+n9Uybtu0YZ7CVOe1vyUdObE7QshupY
8eOZCHsyhva5WV9Q4d/ykBxLZd9P8PG3ESIqZezvoX1Js94syvI/4P0vYQBogXGhsTFa1aN2sKEE
6NACuqY+SOgB4+AQzJ5dksqy6/Ll3A0YFj1Znyy4A1PFI+vT4UuIBBFkgmzETFU7hw5iQWtXR/bT
B8NKHgeIBg5kA8DrOSvJaDs4WBphH2QwEAwFQ1igIkRmczlDSUDmzicMbkJSZhcpHIUJnkKgSGao
aFYGiti1gLlgD+m2gMEACOQihcnw94yPIsLRLWqF/682aYq35j39M2agevXv9YlhfzMsJYghkvW3
euJnfWKAE0RhQ8ekZneeTlXz+97J4W8oQkCPe67FiBDVa1v2XfI//21Z31hiMQKkQqHoAYfzVwoU
PFX/sndimcM37GJCYfNEeKz6+18KlGBytCrg8bvSMt/cOIPsSAebrYM7zPXr0Fg8TF3dNTAHZs3z
mKQtrJaisW7FwywywcrVHfSrojHtTUELOem0M/pwBkJAEkZv2EaD4H6ql96kKR7Q8a1qy/etiamU
UuxnnlEvGMPJx2t3XaXlyZ3fdUDpmE2JVaGBEVot8SLuZckdztZEmOs80+c7xgWkmZmCjO2qysHh
dXm7R7NPbpnTe4+FMSBF4bAeHitJMMfKcioaBJvRUL7W2rrAHlv5N1Y2VC+WrMWL5lTOHlMaqEBj
yCN2HEbsr3KfrhGtpt+D6VtkvPZTgoKD0oQOp8s1W+UeZ6onrzy3GG6ZgeJNJ4LKBtFRDPteixw2
RbXPzEtivGaqUi7cVr1L6oSfkkEioNbeaobPpGHpZLrPG2/5IU0N3lVsz22xnnUuQXPb4/Rgwm9b
PYAVf7C6ncPKSaP3hDz2AqzCMJCSoMqxhdEnBQnDSbS4IWfEMjDlHK1lCfZBjOoinKsm3nmsBM9t
M4hXKyjac+C1HkA812BN1NrJvVRpJhb2l5tS46d5U2jxoIdxq5dyHUdlXx8S0+jRFqSmeMny1ryf
gj7vKY16hKxjoaf5XreKzltpfhWJA/23mI7SS+3xwx39+COAHbUDQBIBGElKHPUBNvlWaxEYaPhL
Mz9tn4lar5rrmo0IV9Q/Yun/7qqUi+w/nFwwTv9sO6Fe9fuJheKeg4V1OF3LPxT3Pzsq65uDb5Jt
uaXbLNPRwf9+YiHGp8fB/EYeFpno6j/8/cRiU456nv9L6fjZvJt/5cSy/T+eWD5GOxSIgW36yPoR
/3+Bln85sSCykEwIqOnatABCbR2fvEcmJf2PRvThYGfTSlcSUy1CbCqM4DHqcPxHSojqON73TuZ3
npKo0hxu+g6TMTzv7wQKHlrUrLQTpA0qgSv9/CZSqtfMMl5HpYNtlSJW1vWhHlC5L+m11WkHCBSn
FgmtobS0vVLVDnACWVr6+wLB7TJqGw/1XDe65bpEkpspbS4Rcrem1b0ESrXLTOk8Z5qBOVS715Sy
N1IaX2bB25jYvlw856iARyUHFo64bZVAuKlbdLTOhVTSYSBKu1mJifXKvk6UvFhHZ7ygNx6K/sJv
o/cqGC9SYrRNJUy2lUQ5LiKGPYiWYxNHGyrmVsmZm7lUO3d/s7TNY4riOfaIHxorq2aanj9MqKJ7
JY8u2QZnmX+alXDa4HuIUFKnS/XWKmn1EGVpSPNKHJoSXhcosCMlxW58+TCjzW778VUqsXaGanvy
6133JePGJwib1Nj6KLzryLnOlOTbQfvdKxH4vASPwg22PepwtAM7XcnFW3TjhRKQDyjJfRTlo5KW
j2jM08RBbK5k53WQPdZKiJ5l3bODMh39Q7PqlFYdzToQu/gSXCrh33ayKdC1M2sGV4rSvY2CZtWi
fTfRwOtKDO97XXBkbFmFnPPvRezdxdG8Q444sbcA8liaZEda2sdkVxeLW2xd0T3xZ/uipI+xBx8X
nJliXRPdTdGK/DKY5D32OCNjHgeExeXztEF9mGy8vv2URr0XXrNzBxY8Xd/E0B+yk9HXYVX27DMy
BocAve+ModkJJ3uxZ2MXxBzBle9ctArV2JXkTBWFBMKb0ERglrM7WP9M0sI58fADspBaZ0tzqgLg
akIS2GLO1s6My4vMselKqTgzZpR2Nh5FQiZP0sxXTcDP3o4uOlhHHO7ge370cdk8JUQvcGcF0l+5
KOluTaUyjFd+I7WzXgX1LYosme+MKd3Cmt1mGpOz3ow+oXF+RE6go9KEJaIz2/OK6bF1m+9d1iMH
LcuzF0OJSbKzUeHPgAy0Zp+1qSYuT8sbEGnoJG4Te0Tgm803V4W156kQbAEKbrLDBCgkG3BvWQuw
dusqlZuunBiJzvgwzU09Ta9+BNAomB/4RRM+JLTDnGqXRc3IL9MORUAeh3JsCDhaIGgFacGZj8hy
8rlY7eVoVd2TUTebxCHZzCSfapBAUKyU3LK0ZkCKdjWYvN2IxYTFCb+Qx05xAqdeIYTWA31JqrFU
zAqPCMl2k6TBsxSEa7VNcjlQmm2WOg22k2TGip5yH9T6FSLcH+1o8yEgKnPyEN3Zwcaq5hP6j8PY
sHKTJnJKVGr8bsnM1TDyts0P8F/XYvI3rbDv9TRGdj83l0vmuahzitDOMFPoPvpTlKhbRAF3Th99
kPjJ0znIQ0f1sG6J5cSpy1alpliy5E2kL8NFAn5ZpBCb/BS1rd2fRq+4mODyrCR7Ezv2XzDx4lby
98w0Vs2s7wKvv0nd4Uk3q0NkE+k1YOrLRM75NxUYlN3y1urBBqdLAzwtZvcn9ohpsRUMV5G73OPd
XdVmd47M/gh/dcWkAB10MG+Wxdy6bhNaYO6QBw8bIM0Lp7C1DZzuQi+WrQ8+ZR3MGrsg/Tu5NmTF
mv2rlTI5GsmqPpDhfGMgPari+Mw+5jLw54GwVJZs7jIedTdDSUF/SiqtCKWWBgcrdnqEtdMNtl2A
yKzEAv8Tuea2IDKtdbuwbXxtm6aUnKPWXc9dddN5/sOUEs0rHadfT9IJwkmY+XOG3p3g5uFTtP0F
pCK2BsVBdOVlEjCP6Jv0tl/MjZk2n05MwGhvVFfJBMNeLA+ZYZLjOGSPnMBhWzjnRouwOenBi+Y2
T1M9XYwyqdQwjsl65a87I7kwgTYlkzJBxxd213GM2/MhqgOcNUYEXIdtd5s9olUdsw0J3MZWW7px
7QPRyfX0YDrKszTKZTOVybtNiNdmHtgntY3xFizLtQHHN6RciDcxuXBTs+C+tepPj+aYQpgwiBTv
Sj9PxSYp06dSmDdoCG7tjKHeUNpQMtofDh1JR84r3KXr1p0OC7u5dUNKLk7n4mGatcdqKu/zlJ3V
WFibCgPqyp/H6yFjAEPq591SYEbNe9GfG9Y/oL5ItrbVNMiNBgzs0kBid/FLPUWrP8dl8Su2xvy/
XkE4LNDXUVAgk0Bs+MeGil7BsGfq22vjTq6ene1wU6/JoF0Hb/e37QlKUFiuu3166ewI0d6X2+To
xHtxSnZf7+PvAteiF/4PBS5rg9Nb9/FnalBe+EuNq/N7YMbp2T6lLH/1s8Y1v+FgoRv2Aosi+Neu
3PtG520SjOu4uoLt/9KVe9+wp4IVcQxWEK5u/KWunHHBLxwXZTdVwhvfxDTPAwQO9l8eoX7sa+ny
IOvlTRPbIfGmm19+KH/ylPJOf/kKqoZmqgB+1+E7NAMgFH/8CujXM6v3SBpvbXFMvUdNvw7A2eFS
j25YvLbGb2Kwfwvd/cpG+I9fUb2jX6p2k6luSu/dw4zqSW2cYxQGc1uaEgVc2RItXPrHoaNodTMn
WrUu1ROGkjoikzbsZOehSC3c18kMzINrMaXDLk5GZVtaK8tPLp0ST41vZuuq0d8HLfsMJu0ZyOVN
SVgC4kn2riImWLogwHVlmQkz7pzAAkk2OqxOF697nm5pD9B+VGm5iziW1umUsq1tEMMXmBOQiKZ3
2ghqvE9v/WG4QKFFnZ8Ol1od8VsS6UpGlAQILzb2zCadvOQI5yu3r7UvS+NmSBjNEXNa6GwfMhFf
lMFXufjQ4HYAgvA6LNbN5CX7AbsgEqt2l3aYRNj1J6kzrRK3HGH0NS1m4/lEMOZy53E2AnFwmBPc
lRgH9m5d0fEU9b4Gd9udl8rmD3rZTOV1HtuXHSP0K8xCXN1ttwAQtGpmi/6l6+IQsOUly4LDlI2n
JogAcGZX8+I+IfzE50EPDpDP2gKe+GE7+jvSGiccHfs0VfYxgn8/ZNVlF43cSfMB+P+NvtTrIqoZ
T8yX6Hsve78pN90idaAJ40U76E81PmfbZiEki+WBPIl4hQ4gu0r74qbIOjye41W2ZEe9zFBTVC4S
RSgm1CY+ts8BxaIN64Yy96HuZtYF+P23pqz6Q9+PHVJ+E3tYWs+XOdT3Lb3NRS7fA228thP/tu0b
Y2UkuK+ThPw8sIdRnt70hXY3DgVhyfxagMCHfooqR3bvXkIdbLjibIJmDHrZk11ngFRF5yPmc9cj
TWgr5EbUY2MzbCmON5Q6xAajqilLriD7RkY1wQ8Td3iXZ8PtNCe3bmQcmrHf+JX/zJ23njynAeOo
sQjkei/Ym0ngiBby52Vhew1cDADk8KFzVRcAT2vbgD3iBUByAUpb6C1g6nNrxzdJOpxsR+DSlLtJ
d8KcBFVkdhdtW+5RG0DQ7xS/9Aqn+8Zkls1BcZ7ZJLEqA+Vh2dEWQfOj3bSAKeF91eo+Lpx83mek
fhyaHLlvGvdQK7Rj1i73zIiQjufdVdqUd2LAcSWgGdMI0w375lvQizfh+aeyzsVqEjjJmf0jG2xH
pMHR4O//vvS+5tH2/+OBKLq3/1o3/cINV3QsbQ7v//Pfv7kn1Ct/3nrGN4cRn8MAB3yf/4ddOUMf
g9Uws2Bkn1+Sz98nO943jqWv2CRH3Xkqd+v3yY7L0EdHlOoZOJegAf6lW48YnT/cSvxPUIpA9bou
0Cw0cP+KWQgijcxj3we2OiETwUbdbBoTVXw+FU8p0snQFHx0W4IomQF76Euc7lA7xudQkmFRSjke
IWJaWEDJrO/0fh+XcQitx0Huzz1RFsQmK+eQ8MT3MWpYMSuu7FCwm8kVa9ZT1FmtmoObpJYPjqLS
1qM1rxxAtdApH+K4K9d6+gRU9V7KtLj21Ma1VLvXXm1h9clIj5LFbAREJsyC4OwTKYE01PxgJd5v
mbWM90Ud7KlKLkQ1zVt9KkKtnW5rA5VKSX+bazVTG8Spdr1z9FasBwePvNfcJS0zBOYzp9bxgK92
1i4DXLiO4vbHjPSFSzQeQm+ZGYWl0S5O6zsk5cgabdCvNnOMpkkPSJReDSPxOIpGovGU9W6B/A60
kxMCL2eZGpsp65NN3iizxXIbxca8dzSDH02fDhd5ypZYOgxLqvQY+JnaFjN577R3IfKAiVmNL7BM
d+Mypus68hoQpyRyww+EL7FY2z5n4B4XgF865eMQFaHQ1q2oPPwM76Zffnr8d/3MjyyFBbNOjPYt
oWPENcEW2/Y6lrCWubIqYazguq1YCGDoyG1Uv3O798vgdh5EeVNL41RPYgr12qhARpcoWXmGd4tp
3ttkzgPICDa+5jyAaAuO9SD25AOliIyjK10d5MAPtoBxL9qyuxkjbq0cb9iIFJIR98Zw0qfAbu1d
QSWyjlqZbIK83i6pd5rr+dks5dYuhld7nKHjWsPtAF0IWd/4wVeeMEHmH4NXG9cMaa1Vbcw3tOOY
T7LkFLAruBys5jspAQCyGsM8pKrgSTTpMdFg/h/ORVuH+rJ1VIHUiKG6IiHDO1aqfJq+Kinvq6qy
qhppn+u/c7eMx8GxwLN626aa9mrePjsW9peoeQls2lh7Lqh/Kr4EZtGqx5g/knzSO/yI/TjaaTJZ
HqyqNFa2OY80jt6dX7sXnTF/5ElNV5g5t3kEnsldhnCRw5UJWd+ggQzJM15UDv27WKrg0JXe++Sh
FQSJC2yRMA7W3+25q0mjiZoTojt/4zVjdSw98pCYikLRsEP0lzZPuI+iZJp5xQS4A3/dvBVG9JlX
0U0Oqnhjy06/HpIe0kGPvxl120VtFnq46G69/1/2zmu3jSZd17cy2OdtdA4HewGLUYlUtmWfNGhZ
7pxzX/1+SpRsWaI940UBixv4OUfz226Sxar60hu8ZpxJQN1w3jnpQpV5iat+DiF+CtBpDcRckldg
9YwHWXajm0zW86O4tekOKLEPxe+f6LSNTn9Gcvmbqt7siEwvUVwK4ceBCgMrAn8t8yU7TzAiAD5B
v0MZ1FYJP8+MCOUDDDyCkghPFGaiVHuKTJAlwE7QCEQC6GlS8RcwLuNR1vIXGBeKlHwIIqSBARzV
2avqRbw52PMYkR4rBGcKjFgB1QmACsGSQjoHcM8lC/IzilVUvgZUMgbIsPaogI/p7YcMvKhjODek
erQ5lQIxHQEqrbCUyGztyI6bhQnqFF7uUQcKNUE8B1Qk1lDgUysDKLcArGq9P69AsPpWuEIX+YHm
/LwD4QrwE1UCMK9Fr98zbV56EA5gSmXRVAqS5igEKQu8nK4wBieqATYUJRCNXqcCttZUs1uLkq8T
oNuh1IOlP6qbGDyuKst3vtwaC8t1m2kuQLulEntTx6BJqJvVidHXWB+B8a0F1lcL55EfXrstIGBg
Jt28RdkrBcQ1qUAKd2Yi42IAeFgTMOJRAIppKQEITaxzR4u/wb3PlwNNpUngIT4kDe4NhmMc86af
yQKsTMt8FQn4cuCpEdT1PJ76OaJzVs/QwgLvDLP+xBcAaA8kNF4h0kkCNhqV5ktfgKVT2zlhKAx8
2qhXDnjqAly1WveX1HnSvBGQ6yHpljIYbEWAsREhvez9NJkw9PocgtfGZo57SUC4IVsnmKNoNyPo
bpD1s07AvUGoAAICAa6DvwlBhAv3kqNw7MGoCLi4j2AZKbqGm4z/yQ/5/J4Al48CZm6iTt2YGcJH
AoKOI99DBiZdqmKE2pgdBFWAEjaQdSTcJ4HcV7gbA2fPUv8OXPkVym8wJWyg9qOGWLUAwRcCDl8P
DvA0AZGPaRnPFAGbT7LmPMvsTwZ4eksA6yMBsZfB2itg7umSnZUBiuMg8e2pIYD5ugolwxFgfaiK
9SQEv+9q2RpzM9T7DYuUpUonHlh/Ocw+F2ERLIoY0Bp2IbNeT6mL+KBdS+agQBUoFPlChTqQG11y
FCnuaQmpAB3r20Zql1mVgmbJFkAP8VNJAqijVeug9d+BPhAsBVtu7+iGP1Stiqlav+yCHFc9wWxI
zQydaL4VlIdMcB8ip722IUPUuDbg5tmuXDq4g+wce9AmFOgTKjSK2ECWvGGa0EKwUEXq2KA7TEU3
ztSxxGeE/IYNGrhTUwJmXVAKZ4K1kSZGPmVImkw7nWIskdvvftRHsz7RrLkqKiINCkgPeLiDEmKF
fXOcSUU4dQVfREmNY18wSMZHMgkjl2Bip06/lCSQ6YZgnSD20C0cwUQpwT96gpuSCZZK0uoM4Gp9
0UBgybT2DljFPdDKcJ4JjoundRdDE9IDoLc+HWp6z1xHkGKMJkV8HT30+pS7RwiJ5Fgw9EWBzF1S
HxspReRCa3LTuEU4ybaXPkzfZYM7IGepSGH2W/Rv4Roh5zW3U+wLJ0WravYRw9sBnxQNpugaI5Ch
uXbkRKmvO6eUtNOmbzB1R9/Sv0PDRG3Pozo/yjySvzykes/0SKcvjnp+gW4Byo5XFXhRBib9ia6n
zaKUyn5pS+apYfWAR21dR+XAvKf3X9EMMAFUhfpdJKGJ4gtpR0UezRMtYzNHKWB+/jp+ukb2JXf1
DQhOOsk2XAttxHHN8Vvg5RlNhLRTUSlBR6OsYW0OUb8aMEzrAwdr51xa6Wl5KbnNaWJnX9qgAw2n
kTzjwlcpAF283MAWSOtP/AEObsc8xco3AYYJpsD41iqyBpqpkM3V3bWshmu3wq0gHD7Hvvp9VGSe
4hnfozb5CF5iJo0n6tCHM90okdQoryJkXTCAkyd9j5vFaexbKzmK5ZnTZ5vOG499sGV4XmB8XYD+
QtErWZtWNM4ggVKJSNKlSsScdbgO0YRpVqM80LHq3SmrkB9ZKaL0VSbXS01vudshO1sMo/FBGDhL
rnRTR7PR8D6pJbhYWw/dmS9RU9mR0/HmJcKjkXOEaKgyHaGrz7QOL8vOps2U9HmHR113hsasOrFt
/GY8xToPunTVxBZkb+a/DqZXVVKRm9Ub0+mGOTom1wOVDxkk1ZkLQH8K/PDWbdBkabr0E/K8J6GE
Y6LVjHdN4fjwnE2dPcCgHUyTNC2z+qFynFsu6IWcx2dR4gsDU+0Il+vbogWjGTCzQlHrmHruorXz
K8fIvgYEOpww5bUu16do+rqMkXV36Y5KOTXkErclCI5D3XkTcN3hxI+iY8cY7EnrgSuw1WJZGUE3
DfTqPAqaCzKRRarWH9tEOcojZrZ6o7IBG72fR3LSQg0QzL8IQwc0S/wp3MRsZkbtEhsKZWnSkTyu
WdBp5cfncl6FE4bNJzhqUoKaDECq/jYG9jofMoIgV9ZCCiCWSJ2CX4ZjTgfBwxFKsqeeosJwZ7Av
VbkgFcoJUxPkNlrULSaDVrg4M2nHuh5c+E1I2xdjVimlp8YlxwVndEdjonIkDPtCLdsRNwSNwXTW
36eZ9wmZeYjY1v2oa/e9KS/yCkmeyLuDwmzOaqQF3SS/kzP7SNPL646mmxbiJqkO0VSOmTaV3UaM
gBtLfXCi8QStv8sRI9KJU8vXqS4uccnA9Ah2zD9p9zbtJkv+wyQkize7wIk6/+plQ8jBBIlZgMxw
81VDCNUiGzVnlNLJeJlBPDeEbEBADlYG3PCyZinyizEIUB/aSDJynDq0C0Ff/ou0G+ns1w0hC1UM
oI4y8CE0CR91OV8MDXSolSXnaDi3a6+8sEJyHTgHKDPHunoydFH0eVBw6bTrVl5RcrsT4G4+RXo7
frScrr725SxejiMOYyb61XNLqst5GsA8spmixzHYnVbQ5Q1BnNf6mn/fMi2aQfEHEZBRMUNKPelV
iA9V7ddH2I9E9wEY3mWYoqiH8S1ARYQ4viS+753QgsfoTarDGeUnTAAaWSTUw0dHxZMr1jaDm1gn
jZADqDOpO02FRECZdf20F7IBfSyfM5PJSJygszlmgdoSKgM0OoTkkdCilUOhS2ujUJsPSqdf1qjW
FuPokWDkn30haAu0A5x4fhLCDsNVBtFbdXS6aQ135sJTvDsZZdyg0Ur4eOmlIURz0eSUlrUQ0h2F
pK4vxHVjLT5VhNwu8weEd31fX0Zxqs9bIctrKq09IWYj1Zugju1m7eVYMjDOY3ACSE6OaPUYGPbY
8FQ8Zx1qJPTtwOpIQhIYUWINIUJkgitkwWaDkA4u0BBu1PBLkSMqnMR1KqYk4VxBKdT3irEWxsr+
nKuunMVCUtRFWzTUpckgxEZ7VEeTR/nRESFSrAnCFeyzBylCpLSAwEm7itZCR9HFxOXa1KzLxAIi
HfX9UkXrVA2RbMCcDAFUGo3nqGxeZCijyl5lkTIHxzmaqb0QT7VQUXWFnKopaHCxkFitKpJAK01O
K9RXDSHDWpndNdRi4joRbRoJsVbkLc/BrxylqLi2mnEW9s4qR93VFzKvoxB8NV3zYnDDxYgSbDIG
9cREG9bRhYOsMawMUrAc9VhbM7CUQk/WdIH4jCjMJmr5VROSsw7as5hfLzO0aAE74S/hol6d5QjV
wikfknUR0QObqgIhpwusnPIIm4P6eeZASeZUoOx1poCKwjN2INTmDmaWFupUZx7WScf/XMbby5i+
xB8u43qDLni8aaodfRD+5Y8LWf5Ac97CjgZL+C3u+8dcGlFG0ZjXn3DktCB+XsiyBQMUq1VqZ4bT
/NFzh565tEbrwgHMhY2LSmPlLy5kTczaX0xxHzv0QNZpwzA85yaU+egvp7iSLWlR2cfZeUPpOq6A
cxvhWtHlUJ3XICsvgDy16MPGxtqAUgpX8l73UBEq1eQGdwGOo5KcFWr5mbncSVylV0GC4K+kZhMt
dFe2YawAdKA2bHVLpMiweaqiM1/uPmGm/OAEFar5rVqhjGhml7hxLpSEua4PZbVx/Wimog0BXT5c
1QyYe1pGaOK0qfJVlRg9tZ0Xo+gGwPAYsGoZnKiRWaNtiuDdOJGRGGJ8m2uoh7kSnZ6J2ebHFpJi
y8JyTkwc3vQbza1pQ7tJFzYzx/F8/awMg+pz2Lk0GVotURctBucjWD18nlH6g+3nGBXZcGkgoFPZ
JY1mdAXGeVF6cjFPDNOBr9v1XxtTiOrF6ScrBw2E6NLSbqHs5YG5yd3MnVld0V+GdtxRomUrwk8x
VatanwBJnBeji0giPaDMheEmux+lcjyuLemqJdlO2w6qSjprpfqs74xzpzXRMsrNaRmrdDOCDdze
07ih25rVzaqxAGxZEhZFAhxYOspV20jHpgIZyC3Wtpd/xwtgkkjdEawhYJDJkecWZ56TrhO1XzcZ
xqhDdeX48REGg7fU3yDirCNX8c5NCGyTIs6v43zE4DCYxbm87IzqqqypHfruODT1TwkwNNmxN45d
ncQYosHcxVordL6ncKj02FxrmKRRTjMRH6dKVmFeV104Uf25rEYKA3uWw+RNLX+NDue5jWgTA4x1
CqKh6lUcDLJVi5sYqgBrfkvqT+pr31+HLiw8zTkdNWMBFvgEgO2SWfMX1QgXdlCvcq3+6mV2OBc/
vWfRvyuR6E6UJdIUZ0pb1ZPGkdeN6s+GIlyXuHBC+5pC3781fO04Rkp0EuMqjxHAcYVssx3YaEIU
D0wQqDXiTzTwbjPZh8YkLdzcONN0e6E2CZ0U1PHNQTnr9P5ry4dAyV+ZRaly5rZoK1gKih/1mWeB
yAoAdvX+cVYxxLKH8qG01KvW6a/KAVMF12uNSwbLy8Ds/LXp6qvBUDGlieXwGGhegV6XmoGyJ0Iz
5eqLc9k0cDtkSzVCvZLhxRS/XiJQ5XwbvH4t9wntdg1go3fZF7U56xEtxVXXmmlF8aUOB7afZkL0
dpeAjIeFpLlf6KOsOqSYF3bS3ET0NjVJA4yr19VczcYA83oMeLQEBrfkU4LnrZTOVV9ZYZlwpWN9
PgWZQNep5xdvQ+cizKVlpUOHpX5C5iSSIHNgqgZmcVWHzRKlzqkBYlOms4UhH62GQCWBQu3zAmt5
8B96dapqBEF/qMAEQMRyozOtkJYw9ueJiQu9irdGVyT3uZ7wY4wSQ/IK+p87sFi1eWnE9nFWh9qs
zEKAIZGLxeXYoyqOQ2MmMxNSfbwmwiA/S4KY5hqoukTN7mpLBxKiJu1USsZ1o2irPgq+oaMYAqJV
j9w8Rc1EqKghMnNlpurH2jFPJIBhttTEi3hIc1p/3cpwlGHS6twAiRTj75CnzUwt3GZCJ6xYhM1w
ljFKnJhacB5FxW1rNubU9/sbz0Rf3UcyJkWXsbWjc7TnlSlTTsQeyhBt+iSdIuLmAASVujPUYeNT
3wDq+E/sf4z9BgH397H/pok35cPbuC/+1XPchwrm2BDONQodBeQQ1dZz3FfQVWaIYTMeECR2MX5/
jvvmBzgVVEc4HDyPRp7jvrBMp0YDq8bOUkxd+Zu4D7XiVdznjR3COJ9B0SnT5FegRm56uSCHbdZj
nCGrETRfyoE2J5h6i+gZz4YyFh1lCJyZuwpKuOmG0qFRmrYXSZUdW4z2J5WB46mwQaik4JTuwwrv
8W4CJP4ac5VvLV24qZS1FmAewCFup+IIXUA1k01vmlQCEyB/QuXji1rpd06BaK/tOyj4CFiwI40L
3C0ljBN8yKcl2hoe9pYBPpyGnX7Jh+y29QMmxnWFLYBpfiyL+jgFVFA70icMA0590zoHRLNqI/+s
zoIvVWYncJKsC1qb9zHI53nCF2PYHJhLVcVsWsk+J4M8QLfCqjTDsmBaxN0RCka3g5qXc6/uFroO
0kYNMRvBVgXXWcn+hhGvMcN14Kyq4xusY6OpDWfZiOyrLHC+FZVzAdILIThmRzhDhPXc7bq1nbcU
bum9W2ef3UI9B9F8D9MGfE1UevMm7dAdsZILL0ehD/1r7KC/xCoaiHls57POhFzQ5dl9pzg0juDq
JgMwqpw7cDZAkF2Qr5VTR7HOMNo5KXT3LPUoNNBWWQzgzeSyO/Ec58hTjSuoud8DPXywkvJGCzyG
AONd4o3JDGmlNUJMU0cujUnXwTxQZTRoMXg10dyuVr7TfycUZjNSq2Umu/K0KSG4JLL6SfeMK71G
zsAOohvdU783qtkCvxf/3GiaBXy3uwT0epWBXSbxJUjjEIHkV4hsWPwZWF+0UPOGsbOBUSeQkCku
vcZEpjzEJWMhWzmmPba8LGofMHSUA6LO+dXQsuymdBxmjc48pcBswERKYelW+WngJsXJmETkntz5
gn9yZcVAdVMShELHXn10bZ4UCDeEniH5WIUAjNlxhtVJU3tkEw8Vv2Gi5t68K8frzEPuukltyDzt
wpWb69HWToKOEZelog9WFS4A6RgsRNtE9zAT7mw0MSaWmX+VlQyp3sydll3fTzo5AN9XgjeR/CM5
lcKZZIEbk+VsaYKoV+SgmSILjYGB32F129oPSVic0ZNtJ7QT83np1Memhyuv2gB18ZL+Nitwy1BL
mrG4eREz6q8Vkmi4AigQAsZ8vEggSJzqaYTAEA0h7zhWHV+bRVH3CUPjsp2XUuUHH1kGtz5Xa+Fc
bAaGtjDdRE5vrCZGvkKv81GD6h9X/hTCpnWB3EtAwVsE/oVW9N7nADZNFbOFJrqvu+scM1ucsYX8
DzQu4p9voSfkF7KEjKjRX8qxhFB7EaASaVFPT3BWBH9uo1xw3FiyC1Qx6GuYOrIWY84xaFOliy/x
3+yLJaZS6l3UIeO1itMcKUk0BsC7mNa97CEkQFExlAipA/lwRmSAdKPA11u1vBu5tuLqs4o/MG1w
bSTZK+TEdL9ERuDrKxmFAQlFub7J/wmXW0ia8Udy9UcQbE25Ay8g/tmPeGl/MDUMLrENUJRfFRQf
46UDDtuAcr2Fdj/HS/0DChp4yui680hFJMo+x0vtg6roqknPUsC4RbvzL+rkNzg24YMArgysOAa5
0BV/rZJ7GbpsWaZESxEY6Kt4FWLShJQXacTFW6oBCPNXYRk9GdB3uo77kYyajf4qLCvA1goz1PO1
3BjOLU46KPYlKOiPR1TwBliwOm304wrJp2u0E5g+m+hLhLblfc6z0D5B+t45VayEsTNVan/hD9qV
NmQtk4nBQ5W9jcJK+9JykdvgdIq2BXkDp6xFVABOlBSfdwinKPMgzzN1nnVxA3pK8uBtY2yTolU1
OHPBzpRnVXpvxHq3tvQ8PtcbZjRTJYcrs8jcXkOTFsGruEKuBl2uTDuXW8WIzto4PC/rqKMux7zP
dy7wUHwwqvxbWngLt5JvrLY4SjttaUhmtlSZYIPdQ1ofBKuTMEdNjt1hKGZaRIuhKpVZPBTffTTT
x1xfK2r+vdHaa4SKk3mnl+FnKwIn5nhRs5KsvFwXlWGexAHNOicB4jaqFamzpH3XwwrAlOvDeK+L
fJ60UNiDWDJQBLdXzNjXVUq1gPgWMljBqC7r1LodFOkuVqGfZqEPiK+uPdWCJwjh2atc9GxsGZcI
XTyiVuFdmeVtqdcQ5E079a8qMF7zhm7c3Onl/k6HC8oqqlgKVlFTznSpZAIOVK8wa4DikqJsDVR+
D9x/w0VAWBTkDXKQZJoiO/11LxcD9j8e4P01IikbBvHKNcDzCUAISCwp5f0Eev88WVpzOusT40Rf
aHPqmWn0b/b6o/71TwQO8FO0lUhpkXoSyS42wb9+DqMHLe1VfrZ2Ve8Em4R+GnmFCwFJpyduRc68
aF0BUDcJaOjfrDyrdE8UfiMzKgBrWMPacenK2+r4pe4zZ1GpGJPXdb5w7fGLZSB9FLq4HlDMfaJV
gVVAWSCaW1HpIQvHnNBneGz4/RzczrJTmAC6aLzotkub1jkaNYZrqrrUdUOZFMiCkDzCSk3SI+Rp
ZhnzsEkm5/Ou885U0H5MqIFaooxMfzisZhzidYdU3bLwBO9P8269Ljti8rZqehs3IDtfyhEbzXIK
Rv9yeP3na+TXS+QR2EthAbJJd+g5as6rS8QZ1c7JE7dcy20SLrkIYr68nIId8udGFmAMUXhc1z8K
oB031yNH+5dfEwb3y/d89WtKfWuVbeRV68LTPhsuk2xYpNCOrSM9aUCL04LwzBLVPYDzRkyfxdDT
ASN4lMSBbp5lgX0nB1WBIpT0nVi9yItipWbmpeyO94ZXfEm6oJgVCFJs2V3/sKqQEfn5C842wMm3
QPI12vr/9/98br7uCsi/ThJlFNZIpik5FU2g9J4LWBUZNuITig4oB4gO9s8C1uFPsMulhP3R7n4O
yPYHrHTBBPJHQj3l7+T1Nfl1Act7MKo0RbksZOJBqv/SuI7rspb7rJfP6zC7AzuFU0ykSaeq1OQT
KvOccRhnDrSxs+4jt1pkgKGndaWflJkBfikFVoJ/pHFWoiELIiwS6lbmsu2a69ju81U5SrSuZDQT
7XsFegpE4I7ZXeMi/dQdO669CKxcnkGdWDYVfI7UETKwnX7bpeWRjhnZDbcscup5fo8+xmnW5Lel
gkQ43TZCrVfcx4MTzbJKR8O06476vO/xkMv89FLW7KUS6vqFpJmnLmired3J7jTpJBfka4nGZlww
YKo3VuPdu4ndLZBsR8tjyItjYEfJBNm2qxq1sAsH1DFayHSBYo1KzkXJaeYGpo4BGuit1B2QnNVL
CgntWxWYl75BV7jGMYcu3F2gajd15uQzKVQfctTE5+7o3ZZUGgGDxAb41AQ73yPIpd8o9tNJ6PtH
kQM+UA5Xlal+TlLvNBydGwU0+MQYEQcoVfkmt0IVNWD9pPZxncOgI50yjNsMTYX8vFXd2XgBQb6B
9VlQzHW6fGHHujLz3eAycKChSEkHAnoY5HJKB+27XOLVa4oOcHDaDpl3rIXVFfAvpDoNuZ2MZVJN
8YSfhCYKrVYez6wRMQnITxDRU5S3S6AKcRUBNUdULEgr+9xR82EZQzybtGZ4DPPKWXlV+aAWePo5
o+VdSg1UpTEw7h1GgutiUL/HzOkQjTQZUPqh6qxxCcATJMW+wI0Mb1YbSbRIKVBOvCg795OSgiy2
zzspAwRqOlyLQ/YdHJ8GBIk+RKmu8yyH4UNPc1IHxBmlyaDvGtIy7FtCkNJ8MXP/YxRFDfwRJIZV
PyU/8Vk3pHSQqEWkGeWEj1aAhoWbfU1AfdOe1E/0VLpU7Py7jpt446N/DPVqmpKdTOW6RB4oLo5z
Mznpa2Oue9r5oETnVOv91BGEMTkLP8mde2skyIchloknuWTdlrVn8LHVMzcnn5LsppkgBYuMmyxf
JUN9ImM/W0ThVRBg6NDEnzu5/MpkPoP5BIx2qNq1XUYNXgukIZmcrgybxTV06QSVaX1pygT0BuuD
GcoMZ4D/74n12qyqh0+5pjaTVslBrFCNZjUePUPfHkeYDtGHl9dd3H31Weu5qeU455lBQVsqv9PS
fOVApzbtbBH6GvqtuETUcrewShpTUtwV0Lbwl4zC5rQfogJZ7Jjh1WB8Ex6GXQESOLHDs8It1WmQ
J4yESRFCv/pih8Upche3SjR+VKTqks8HmUWHqtE5q7JP4xkfeOaNbYfzQrSyC+p/LCiuKkf7MtRO
fu7pfgw/UepPpGiQjrME/e60Dc7aCN5HIz34eXRlm6kxzbFQwOxIc6tj1+IpY+kbR4mlz0u3aBB2
l2KEo9XLUFbTia3pgMmUihF+ZkWIKbKJB1QEMe200CoXOgBdFs9cP0Yq12MkBUB4gpvWPSjn8P+b
2vcpFRAhcP5IpbpsHsrh6qGiX/HDwE786UWGN9RN9j/7S8/F5e4HPcXemyEn9m6+QSVCyrMug/ta
tIxfEbwU7VXkfvxgj5/6j8+JNxDFmm+8g2Z80MDqCNl/+fFFjo9plvf0xxQNjvC6QQVMJXckz3ux
Rr9bhT9/we1y/vnv/P7Dv1wDoDlU1z9yzx/r+W++P1/w59eH4MZXNx0FAVnx2vH1gWlSywPcfnwd
wiLs2Aky/+2vV4J/82IpmDUo6uNW2H5T0rhfdgK5HNpO5E9CR+5/fyfsWAT1dXPp74+DzX4QkxOq
zccXm/6XReA4qNDzSU23W+9/+Ti8WQSdT733ThDahDpsGxL0nYuAShjSBEBLtpvu0NaAJsFrm5b/
yUZACZpqgcr48fX6NLARaEpYbJbtpjvARdj/NLDZsZUBqC6WlJe4MF4GBzaCjJYTECMaBwd5JSjb
Lbrtef2nEUJ8zZ8hAqIzAFkVoc7tTuB8/bIIio1suGPiosseOchFEOS4PYOD+I6mSgOdifPOnSB/
oP5nr+jbZsIBHodt1NpnJ9hCHJFuu83J+mULqDKXgRhJyNs04lADpJjd770RRDqI4Aem4OL1+l7k
SqBERD1SOdjT8Lrd9dfBQVc+4CLMLy5WQrxeZwmqzsWJDbapHmqEFE2w/XaC8CQjOsKH3d4I4pJ5
fShMIQpK2+9Q78XtB9vvSkBDyTTUp0xJJF+vF4GDQhdTyEbxOtSbQZjN7bcfNOoHOr2kjfp2Q+zY
D/whLufohhzyUghVtz2XgiqCMbBOpfSbpSCB5mRApTrU+0Ggu/dcBBBqoM8MhuHbS/L10RAZtI2q
jK0cavL4VOPtcz9wKIQwHJJQry8G4iTDBSyED3ULKHsXUYQIMRHC0/jNt9c/gDcA2cgxeHwdaIRQ
9k8aVfw50aMAibn7LlAM7k2DY0JmecjXorJ/hDA/0EXkXtRp3D396r8ES24E2C8O1+ahZgxPV9V+
NwKZITxJioXHlyg2X9XUgHcVFEe2cejwKqmnEm+fRRBtNpIiAbl6fHHMXi8C0CkShYMtJ5+26D6L
oH9Aewoi7fNxeF1K0VjAOYySU7BqeR1q7vhU6e2zFHiymSqh0HpqNL3ZDzJCQJSVdOEPNVJsP9g+
iwAPQFgv4ECzvR1f7wdKa9gBlFOi6CY5O7ybQd07ZdAsmI7wx8mMH/f8roGMY6IQCCP8OYYc5lLs
nzk4HxTRcrSg2T++3hwKgKtgt2BqHmq4fGp/7HcoNBnFyh8TmTeHgjaEDVRIsbZl56FekgIGt19B
RddJdx5pOOZ2579JqrHDBK+JUdH2vQ7wfti//2h+gCL9CNXeHoo3XQYQZ4aJcMXBDqeeBun7HArm
MkhiIDH/FC53LIKsMJQB1XmgkeINbe6vm7D4uGpYlhEmfj+6x24BtrpxsMdhG8f32Qka1SWJNEZy
u3MG4TOHpCGA24O9GPdPnPCfAlPMMjzthF3HQVAh4eBuXwd6KN64Iv9PDgVWXALH8ZsSGxAHrsgy
TZlDvRmE/uZ+gZJOtIOABk35p84j6dGv1aX8gbEEhFahMn2Q2aMgAe+5CBqsYhnHtidc19tE2gL5
JRDW1qGWVIJvst8iiAYkLSdqqqeU6c1OUNkJwrjDPNTrUdu2h/eJEWh2oQJD9fxUMb1ZBJFYiv8B
/hKvg12K/TuQtJ3Bq0AueOo7vY4UhEuVDUE0OdSLYf8MmoY04gAGTelX1yJfXkGDn9V5Ch4HugaC
U7nfvUCEANCqgmd5ihCvl0LwVkSH8nATaG0bv/e5F7A0smU4O8AZn9OiX8Ok+kHHgMiwn2yXDq+e
fIKd7bEIAsqhCbbuM9aRvfV6EbCkwC7JPNQqQtt2f/ZYBJpuuE3TO+Dnfny9vhY5DpgrcRqcwx7d
C4GUPW8Gg8m8itkx0fLxRTD8dT8AdCOlAgV9qCFCGHrtuQgWczik0AzzdzMqBdynmE1Y2/c6vJvh
jVPc35dSj51oKIPP0fBN2gSIQ0ULz0FgRyz44S2CMGLecyfYH57UA59wn29uhsdsAm6lwEQe5iLs
n0AznbJ0JJCUpyriTbYADBpSAJ2oQy2q9f2Lal0kA2L49Hs4D5YbmtCjeM4mDnM/bE/rfuFSTGUZ
4D8lTm/2g/JB9B3pvx5qf0HfJjN7LAKlNdQHygVkWB5fO3AM1BIyri2HeiiMvQ8FiwBsx2SM/5tD
IZgyHAlYU9vM6lAjxRtZnr8Pl0CeAXdqqIJvj//rQyGYU+iNy+YTtPDwwuXTnGCPQyESaZsGApny
b7NHELIKXkeHWk0IY769cwYGdKRFgm3wa+5MsWUBZwH6d6DJwhspjL8/B2JqrwDngyK4+14URowY
SnF3/ueL8B8clh8E5akfxN8eqcm44exiMP/uLzxzct/++Qvi8SPp9pe/KajK2zff0pPF//+vX5nL
j7nxiz99zpUf3+np3z99xbdv/subPX+v5/94FDyUm/IeIYJHavTTB90ql/x3jIDJt81LyjBICk1M
yp7/226a9Y/9/+en50H68Pygn6abgnv486u+5XD/Zw9PNt+y8vlBLx7Owdn74RPkjHd9cCL43s+e
buJNy09SPT/rxWdnv+///Cxuqjc/KV0Jyo93eHhal5ipZjs968R1tvdbzB7if62zcuf6kyft/fx5
/K9ZVrJ5np/1Yv2pBvd+/qJ8qHY5i4igvvfDl/FDmj4/58UHf4/jetQkX7P4W/328QLnvvdHP07y
hzLYxM+P+vnpBYR8/8enw45fVJBb93706UO5Y80FhGj/Rwept+MiEEjyvZ99tol23GECn/0Oj66q
h11r8h4H9Cyr/vXfqfcQP+xamfc4oqvNNy7g53V4sRHf44iuNmWwa2ne44iKZ+fZrttd4Er3/llX
D+m37D7YdXsJRYt3eH55//Dt+UE/112AIPd/eMZnf37Oi2e/xzFdZTvX5D1OKY+uH8qHYccnf4+T
ut7kOza6aDjsveDrh3bzNnfE+Oo9juh5ueEKeP6UL37O9ziiF/Hm/mFH7igGFnsvy0XcJLuSO4Ha
2fvhVwGpYxV827EyAhCz9/OvN/clJUFa74ilAmfxDm+Q/mvygEj3rjd4j6N6vRFvUKab8tvOi0x7
j0Mr3mQWPHi7vsR7nFrx/AUn4D6o7ne9x3scX/EeJ9mmaHZFKzExfZff+qwJqn+dfw2qfNf3eI/D
LL7HalM/7Hr+e5xnno/e52RTft3syhnE3OA9Vor3mOKEseOyFsOz93qHshmfH/bzTtXf5WD/ycf8
sfOwRyfhmh7GzqV5l8McVFEwZM2OhXmXs/wnp8m9F4bEJNm1Z97l/P47W7a9P71os+yIwwK+tPeO
v3nwN7uWRsw09n84OX5Q70jaBCJz/6f/yRNn30W/aWgQJbv6cqK7v/dn/7NBwb4f/jNuxs8f8ucF
Jjrye3/wP6g4//lT72rL/sA6vG3WPqs77vpnv/aixd+4jx825X/9PwAAAP//</cx:binary>
              </cx:geoCache>
            </cx:geography>
          </cx:layoutPr>
          <cx:valueColors>
            <cx:minColor>
              <a:schemeClr val="accent4">
                <a:lumMod val="60000"/>
                <a:lumOff val="40000"/>
              </a:schemeClr>
            </cx:minColor>
            <cx:maxColor>
              <a:srgbClr val="FF0000"/>
            </cx:maxColor>
          </cx:valueColors>
        </cx:series>
      </cx:plotAreaRegion>
    </cx:plotArea>
    <cx:legend pos="t" align="ctr" overlay="0">
      <cx:txPr>
        <a:bodyPr spcFirstLastPara="1" vertOverflow="ellipsis" horzOverflow="overflow" wrap="square" lIns="0" tIns="0" rIns="0" bIns="0" anchor="ctr" anchorCtr="1"/>
        <a:lstStyle/>
        <a:p>
          <a:pPr algn="ctr" rtl="0">
            <a:defRPr lang="en-US" sz="1400" b="1">
              <a:ln>
                <a:noFill/>
              </a:ln>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sz="1400" b="1">
            <a:ln>
              <a:noFill/>
            </a:ln>
            <a:solidFill>
              <a:schemeClr val="tx1">
                <a:lumMod val="75000"/>
                <a:lumOff val="25000"/>
              </a:schemeClr>
            </a:solidFill>
            <a:latin typeface="Segoe UI" panose="020B0502040204020203" pitchFamily="34" charset="0"/>
            <a:ea typeface="+mn-ea"/>
            <a:cs typeface="Segoe UI" panose="020B0502040204020203" pitchFamily="34" charset="0"/>
          </a:endParaRPr>
        </a:p>
      </cx:txPr>
    </cx:legend>
  </cx:chart>
  <cx:spPr>
    <a:ln cap="rnd">
      <a:solidFill>
        <a:srgbClr val="0A2940"/>
      </a:solidFill>
      <a:beve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3.xml"/><Relationship Id="rId1"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373380</xdr:colOff>
      <xdr:row>9</xdr:row>
      <xdr:rowOff>3810</xdr:rowOff>
    </xdr:from>
    <xdr:to>
      <xdr:col>8</xdr:col>
      <xdr:colOff>53340</xdr:colOff>
      <xdr:row>24</xdr:row>
      <xdr:rowOff>3810</xdr:rowOff>
    </xdr:to>
    <xdr:graphicFrame macro="">
      <xdr:nvGraphicFramePr>
        <xdr:cNvPr id="6" name="Chart 5">
          <a:extLst>
            <a:ext uri="{FF2B5EF4-FFF2-40B4-BE49-F238E27FC236}">
              <a16:creationId xmlns:a16="http://schemas.microsoft.com/office/drawing/2014/main" id="{762FE522-D4B5-65A4-CBEC-281B8BD46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29</xdr:row>
      <xdr:rowOff>41910</xdr:rowOff>
    </xdr:from>
    <xdr:to>
      <xdr:col>14</xdr:col>
      <xdr:colOff>68580</xdr:colOff>
      <xdr:row>50</xdr:row>
      <xdr:rowOff>30480</xdr:rowOff>
    </xdr:to>
    <xdr:graphicFrame macro="">
      <xdr:nvGraphicFramePr>
        <xdr:cNvPr id="3" name="Chart 2">
          <a:extLst>
            <a:ext uri="{FF2B5EF4-FFF2-40B4-BE49-F238E27FC236}">
              <a16:creationId xmlns:a16="http://schemas.microsoft.com/office/drawing/2014/main" id="{8262B73E-BC35-C5F9-EAD1-92D402767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365760</xdr:colOff>
      <xdr:row>0</xdr:row>
      <xdr:rowOff>118110</xdr:rowOff>
    </xdr:from>
    <xdr:to>
      <xdr:col>11</xdr:col>
      <xdr:colOff>579120</xdr:colOff>
      <xdr:row>15</xdr:row>
      <xdr:rowOff>118110</xdr:rowOff>
    </xdr:to>
    <xdr:graphicFrame macro="">
      <xdr:nvGraphicFramePr>
        <xdr:cNvPr id="2" name="Chart 1">
          <a:extLst>
            <a:ext uri="{FF2B5EF4-FFF2-40B4-BE49-F238E27FC236}">
              <a16:creationId xmlns:a16="http://schemas.microsoft.com/office/drawing/2014/main" id="{D2E525BD-3CB0-1BF2-67BA-59637775A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297180</xdr:colOff>
      <xdr:row>41</xdr:row>
      <xdr:rowOff>140970</xdr:rowOff>
    </xdr:from>
    <xdr:to>
      <xdr:col>21</xdr:col>
      <xdr:colOff>99060</xdr:colOff>
      <xdr:row>56</xdr:row>
      <xdr:rowOff>140970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091D265-6BA0-E90D-F853-9A66EA5178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805160" y="7639050"/>
              <a:ext cx="539496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137160</xdr:colOff>
      <xdr:row>25</xdr:row>
      <xdr:rowOff>3810</xdr:rowOff>
    </xdr:from>
    <xdr:to>
      <xdr:col>7</xdr:col>
      <xdr:colOff>213360</xdr:colOff>
      <xdr:row>38</xdr:row>
      <xdr:rowOff>114300</xdr:rowOff>
    </xdr:to>
    <xdr:graphicFrame macro="">
      <xdr:nvGraphicFramePr>
        <xdr:cNvPr id="10" name="Chart 9">
          <a:extLst>
            <a:ext uri="{FF2B5EF4-FFF2-40B4-BE49-F238E27FC236}">
              <a16:creationId xmlns:a16="http://schemas.microsoft.com/office/drawing/2014/main" id="{BCAFDBA7-8A13-04CB-9A90-83122630A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86</xdr:row>
      <xdr:rowOff>72390</xdr:rowOff>
    </xdr:from>
    <xdr:to>
      <xdr:col>4</xdr:col>
      <xdr:colOff>205740</xdr:colOff>
      <xdr:row>101</xdr:row>
      <xdr:rowOff>72390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4D0BA01D-7B46-7B36-9329-694A6809E9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15800070"/>
              <a:ext cx="474726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0</xdr:row>
      <xdr:rowOff>0</xdr:rowOff>
    </xdr:from>
    <xdr:to>
      <xdr:col>23</xdr:col>
      <xdr:colOff>274320</xdr:colOff>
      <xdr:row>46</xdr:row>
      <xdr:rowOff>167640</xdr:rowOff>
    </xdr:to>
    <xdr:sp macro="" textlink="">
      <xdr:nvSpPr>
        <xdr:cNvPr id="2" name="Rectangle 1">
          <a:extLst>
            <a:ext uri="{FF2B5EF4-FFF2-40B4-BE49-F238E27FC236}">
              <a16:creationId xmlns:a16="http://schemas.microsoft.com/office/drawing/2014/main" id="{E391DECA-F9D3-4EE6-50D0-2BD8D69E1FE5}"/>
            </a:ext>
          </a:extLst>
        </xdr:cNvPr>
        <xdr:cNvSpPr/>
      </xdr:nvSpPr>
      <xdr:spPr>
        <a:xfrm>
          <a:off x="83820" y="0"/>
          <a:ext cx="14211300" cy="8580120"/>
        </a:xfrm>
        <a:prstGeom prst="rect">
          <a:avLst/>
        </a:prstGeom>
        <a:solidFill>
          <a:schemeClr val="tx2">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449580</xdr:colOff>
      <xdr:row>0</xdr:row>
      <xdr:rowOff>45720</xdr:rowOff>
    </xdr:from>
    <xdr:to>
      <xdr:col>22</xdr:col>
      <xdr:colOff>525780</xdr:colOff>
      <xdr:row>3</xdr:row>
      <xdr:rowOff>175260</xdr:rowOff>
    </xdr:to>
    <xdr:sp macro="" textlink="">
      <xdr:nvSpPr>
        <xdr:cNvPr id="4" name="TextBox 3">
          <a:extLst>
            <a:ext uri="{FF2B5EF4-FFF2-40B4-BE49-F238E27FC236}">
              <a16:creationId xmlns:a16="http://schemas.microsoft.com/office/drawing/2014/main" id="{581A18BC-351D-B89B-3292-7ECA7CC60775}"/>
            </a:ext>
          </a:extLst>
        </xdr:cNvPr>
        <xdr:cNvSpPr txBox="1"/>
      </xdr:nvSpPr>
      <xdr:spPr>
        <a:xfrm>
          <a:off x="1059180" y="45720"/>
          <a:ext cx="12877800" cy="67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n>
                <a:noFill/>
              </a:ln>
              <a:solidFill>
                <a:schemeClr val="bg1"/>
              </a:solidFill>
              <a:latin typeface="Segoe UI" panose="020B0502040204020203" pitchFamily="34" charset="0"/>
              <a:cs typeface="Segoe UI" panose="020B0502040204020203" pitchFamily="34" charset="0"/>
            </a:rPr>
            <a:t>Full-Scale E-Commerce Revenue, Product &amp; Performance</a:t>
          </a:r>
          <a:r>
            <a:rPr lang="en-GB" sz="2400" b="1" baseline="0">
              <a:ln>
                <a:noFill/>
              </a:ln>
              <a:solidFill>
                <a:schemeClr val="bg1"/>
              </a:solidFill>
              <a:latin typeface="Segoe UI" panose="020B0502040204020203" pitchFamily="34" charset="0"/>
              <a:cs typeface="Segoe UI" panose="020B0502040204020203" pitchFamily="34" charset="0"/>
            </a:rPr>
            <a:t> Monitoring </a:t>
          </a:r>
          <a:r>
            <a:rPr lang="en-GB" sz="2400" b="1">
              <a:ln>
                <a:noFill/>
              </a:ln>
              <a:solidFill>
                <a:schemeClr val="bg1"/>
              </a:solidFill>
              <a:latin typeface="Segoe UI" panose="020B0502040204020203" pitchFamily="34" charset="0"/>
              <a:cs typeface="Segoe UI" panose="020B0502040204020203" pitchFamily="34" charset="0"/>
            </a:rPr>
            <a:t>Dashboard</a:t>
          </a:r>
        </a:p>
      </xdr:txBody>
    </xdr:sp>
    <xdr:clientData/>
  </xdr:twoCellAnchor>
  <xdr:twoCellAnchor>
    <xdr:from>
      <xdr:col>8</xdr:col>
      <xdr:colOff>45720</xdr:colOff>
      <xdr:row>2</xdr:row>
      <xdr:rowOff>45720</xdr:rowOff>
    </xdr:from>
    <xdr:to>
      <xdr:col>14</xdr:col>
      <xdr:colOff>571500</xdr:colOff>
      <xdr:row>4</xdr:row>
      <xdr:rowOff>68580</xdr:rowOff>
    </xdr:to>
    <xdr:sp macro="" textlink="">
      <xdr:nvSpPr>
        <xdr:cNvPr id="5" name="TextBox 4">
          <a:extLst>
            <a:ext uri="{FF2B5EF4-FFF2-40B4-BE49-F238E27FC236}">
              <a16:creationId xmlns:a16="http://schemas.microsoft.com/office/drawing/2014/main" id="{985A8D1C-9C1D-1FA7-581F-45A93CAE6123}"/>
            </a:ext>
          </a:extLst>
        </xdr:cNvPr>
        <xdr:cNvSpPr txBox="1"/>
      </xdr:nvSpPr>
      <xdr:spPr>
        <a:xfrm>
          <a:off x="4922520" y="411480"/>
          <a:ext cx="41833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a:ln>
                <a:noFill/>
              </a:ln>
              <a:solidFill>
                <a:schemeClr val="bg1"/>
              </a:solidFill>
              <a:latin typeface="Bahnschrift Light SemiCondensed" panose="020B0502040204020203" pitchFamily="34" charset="0"/>
              <a:ea typeface="+mn-ea"/>
              <a:cs typeface="Segoe UI" panose="020B0502040204020203" pitchFamily="34" charset="0"/>
            </a:rPr>
            <a:t>Excel</a:t>
          </a:r>
          <a:r>
            <a:rPr lang="en-GB" sz="1400">
              <a:solidFill>
                <a:schemeClr val="bg1"/>
              </a:solidFill>
              <a:latin typeface="Bahnschrift Light" panose="020B0502040204020203" pitchFamily="34" charset="0"/>
            </a:rPr>
            <a:t> </a:t>
          </a:r>
          <a:r>
            <a:rPr lang="en-GB" sz="1400">
              <a:solidFill>
                <a:schemeClr val="bg1"/>
              </a:solidFill>
              <a:latin typeface="Bahnschrift Light SemiCondensed" panose="020B0502040204020203" pitchFamily="34" charset="0"/>
            </a:rPr>
            <a:t>interactive</a:t>
          </a:r>
          <a:r>
            <a:rPr lang="en-GB" sz="1400" baseline="0">
              <a:solidFill>
                <a:schemeClr val="bg1"/>
              </a:solidFill>
              <a:latin typeface="Bahnschrift Light SemiCondensed" panose="020B0502040204020203" pitchFamily="34" charset="0"/>
            </a:rPr>
            <a:t> Dashboard | Mohammed Sufiyan</a:t>
          </a:r>
          <a:endParaRPr lang="en-GB" sz="1400">
            <a:solidFill>
              <a:schemeClr val="bg1"/>
            </a:solidFill>
            <a:latin typeface="Bahnschrift Light SemiCondensed" panose="020B0502040204020203" pitchFamily="34" charset="0"/>
          </a:endParaRPr>
        </a:p>
      </xdr:txBody>
    </xdr:sp>
    <xdr:clientData/>
  </xdr:twoCellAnchor>
  <xdr:twoCellAnchor editAs="oneCell">
    <xdr:from>
      <xdr:col>0</xdr:col>
      <xdr:colOff>152400</xdr:colOff>
      <xdr:row>5</xdr:row>
      <xdr:rowOff>53341</xdr:rowOff>
    </xdr:from>
    <xdr:to>
      <xdr:col>3</xdr:col>
      <xdr:colOff>152400</xdr:colOff>
      <xdr:row>15</xdr:row>
      <xdr:rowOff>137161</xdr:rowOff>
    </xdr:to>
    <mc:AlternateContent xmlns:mc="http://schemas.openxmlformats.org/markup-compatibility/2006" xmlns:a14="http://schemas.microsoft.com/office/drawing/2010/main">
      <mc:Choice Requires="a14">
        <xdr:graphicFrame macro="">
          <xdr:nvGraphicFramePr>
            <xdr:cNvPr id="6" name="Order Mode" descr="5YTFJG&#10;">
              <a:extLst>
                <a:ext uri="{FF2B5EF4-FFF2-40B4-BE49-F238E27FC236}">
                  <a16:creationId xmlns:a16="http://schemas.microsoft.com/office/drawing/2014/main" id="{F999A539-A447-4F02-A5AE-89DFF5CA093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52400" y="967741"/>
              <a:ext cx="1828800" cy="1912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17</xdr:row>
      <xdr:rowOff>7620</xdr:rowOff>
    </xdr:from>
    <xdr:to>
      <xdr:col>3</xdr:col>
      <xdr:colOff>160020</xdr:colOff>
      <xdr:row>25</xdr:row>
      <xdr:rowOff>121920</xdr:rowOff>
    </xdr:to>
    <mc:AlternateContent xmlns:mc="http://schemas.openxmlformats.org/markup-compatibility/2006" xmlns:a14="http://schemas.microsoft.com/office/drawing/2010/main">
      <mc:Choice Requires="a14">
        <xdr:graphicFrame macro="">
          <xdr:nvGraphicFramePr>
            <xdr:cNvPr id="7" name="Gender Value">
              <a:extLst>
                <a:ext uri="{FF2B5EF4-FFF2-40B4-BE49-F238E27FC236}">
                  <a16:creationId xmlns:a16="http://schemas.microsoft.com/office/drawing/2014/main" id="{1AFFB3C2-876B-4203-82C6-CBBBCA8F41B1}"/>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60020" y="3116580"/>
              <a:ext cx="1828800" cy="15773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5</xdr:row>
      <xdr:rowOff>22860</xdr:rowOff>
    </xdr:from>
    <xdr:to>
      <xdr:col>6</xdr:col>
      <xdr:colOff>563880</xdr:colOff>
      <xdr:row>8</xdr:row>
      <xdr:rowOff>152400</xdr:rowOff>
    </xdr:to>
    <xdr:sp macro="" textlink="">
      <xdr:nvSpPr>
        <xdr:cNvPr id="11" name="TextBox 10">
          <a:extLst>
            <a:ext uri="{FF2B5EF4-FFF2-40B4-BE49-F238E27FC236}">
              <a16:creationId xmlns:a16="http://schemas.microsoft.com/office/drawing/2014/main" id="{03D797B8-E996-5DDF-5016-30E522A21DBA}"/>
            </a:ext>
          </a:extLst>
        </xdr:cNvPr>
        <xdr:cNvSpPr txBox="1"/>
      </xdr:nvSpPr>
      <xdr:spPr>
        <a:xfrm>
          <a:off x="2438400" y="937260"/>
          <a:ext cx="1783080" cy="678180"/>
        </a:xfrm>
        <a:prstGeom prst="roundRect">
          <a:avLst/>
        </a:prstGeom>
        <a:solidFill>
          <a:schemeClr val="bg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u="none" strike="noStrike">
              <a:ln>
                <a:noFill/>
              </a:ln>
              <a:solidFill>
                <a:schemeClr val="bg1"/>
              </a:solidFill>
              <a:effectLst/>
              <a:latin typeface="+mn-lt"/>
              <a:ea typeface="+mn-ea"/>
              <a:cs typeface="+mn-cs"/>
            </a:rPr>
            <a:t>🛒</a:t>
          </a:r>
          <a:r>
            <a:rPr lang="en-GB" sz="1400" b="1">
              <a:ln>
                <a:noFill/>
              </a:ln>
              <a:solidFill>
                <a:schemeClr val="bg1"/>
              </a:solidFill>
              <a:effectLst/>
            </a:rPr>
            <a:t> </a:t>
          </a:r>
          <a:r>
            <a:rPr lang="en-GB" sz="1400" b="1">
              <a:ln>
                <a:noFill/>
              </a:ln>
              <a:solidFill>
                <a:schemeClr val="tx1">
                  <a:lumMod val="75000"/>
                  <a:lumOff val="25000"/>
                </a:schemeClr>
              </a:solidFill>
              <a:latin typeface="Segoe UI" panose="020B0502040204020203" pitchFamily="34" charset="0"/>
              <a:cs typeface="Segoe UI" panose="020B0502040204020203" pitchFamily="34" charset="0"/>
            </a:rPr>
            <a:t>Total Orders</a:t>
          </a:r>
        </a:p>
      </xdr:txBody>
    </xdr:sp>
    <xdr:clientData/>
  </xdr:twoCellAnchor>
  <xdr:twoCellAnchor>
    <xdr:from>
      <xdr:col>7</xdr:col>
      <xdr:colOff>30480</xdr:colOff>
      <xdr:row>5</xdr:row>
      <xdr:rowOff>30480</xdr:rowOff>
    </xdr:from>
    <xdr:to>
      <xdr:col>9</xdr:col>
      <xdr:colOff>495300</xdr:colOff>
      <xdr:row>8</xdr:row>
      <xdr:rowOff>152400</xdr:rowOff>
    </xdr:to>
    <xdr:sp macro="" textlink="">
      <xdr:nvSpPr>
        <xdr:cNvPr id="13" name="TextBox 12">
          <a:extLst>
            <a:ext uri="{FF2B5EF4-FFF2-40B4-BE49-F238E27FC236}">
              <a16:creationId xmlns:a16="http://schemas.microsoft.com/office/drawing/2014/main" id="{FC010890-E092-2E43-7F58-6E23201BCFAC}"/>
            </a:ext>
          </a:extLst>
        </xdr:cNvPr>
        <xdr:cNvSpPr txBox="1"/>
      </xdr:nvSpPr>
      <xdr:spPr>
        <a:xfrm>
          <a:off x="4297680" y="944880"/>
          <a:ext cx="1684020" cy="67056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ln>
                <a:noFill/>
              </a:ln>
              <a:solidFill>
                <a:schemeClr val="tx1"/>
              </a:solidFill>
              <a:latin typeface="Segoe UI" panose="020B0502040204020203" pitchFamily="34" charset="0"/>
              <a:ea typeface="+mn-ea"/>
              <a:cs typeface="Segoe UI" panose="020B0502040204020203" pitchFamily="34" charset="0"/>
            </a:rPr>
            <a:t>📃</a:t>
          </a:r>
          <a:r>
            <a:rPr lang="en-IN"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Total </a:t>
          </a:r>
          <a:r>
            <a:rPr lang="en-GB"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Quantity</a:t>
          </a:r>
        </a:p>
        <a:p>
          <a:endParaRPr lang="en-GB" sz="1400" b="1">
            <a:ln>
              <a:noFill/>
            </a:ln>
            <a:solidFill>
              <a:schemeClr val="tx1"/>
            </a:solidFill>
            <a:latin typeface="Segoe UI" panose="020B0502040204020203" pitchFamily="34" charset="0"/>
            <a:ea typeface="+mn-ea"/>
            <a:cs typeface="Segoe UI" panose="020B0502040204020203" pitchFamily="34" charset="0"/>
          </a:endParaRPr>
        </a:p>
        <a:p>
          <a:endParaRPr lang="en-GB" sz="1100"/>
        </a:p>
      </xdr:txBody>
    </xdr:sp>
    <xdr:clientData/>
  </xdr:twoCellAnchor>
  <xdr:twoCellAnchor>
    <xdr:from>
      <xdr:col>7</xdr:col>
      <xdr:colOff>548640</xdr:colOff>
      <xdr:row>6</xdr:row>
      <xdr:rowOff>99060</xdr:rowOff>
    </xdr:from>
    <xdr:to>
      <xdr:col>9</xdr:col>
      <xdr:colOff>228600</xdr:colOff>
      <xdr:row>8</xdr:row>
      <xdr:rowOff>45720</xdr:rowOff>
    </xdr:to>
    <xdr:sp macro="" textlink="Sheet1!H5">
      <xdr:nvSpPr>
        <xdr:cNvPr id="12" name="TextBox 11">
          <a:extLst>
            <a:ext uri="{FF2B5EF4-FFF2-40B4-BE49-F238E27FC236}">
              <a16:creationId xmlns:a16="http://schemas.microsoft.com/office/drawing/2014/main" id="{F0AD0333-C8D8-169A-CA12-E85476A1FC50}"/>
            </a:ext>
          </a:extLst>
        </xdr:cNvPr>
        <xdr:cNvSpPr txBox="1"/>
      </xdr:nvSpPr>
      <xdr:spPr>
        <a:xfrm>
          <a:off x="4815840" y="1196340"/>
          <a:ext cx="899160" cy="3124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BF7DB6-B31C-46C5-B3CE-7B7B9EFD45DA}" type="TxLink">
            <a:rPr lang="en-US" sz="1400" b="1" i="0" u="none" strike="noStrike">
              <a:solidFill>
                <a:srgbClr val="FF0000"/>
              </a:solidFill>
              <a:latin typeface="Segoe UI" panose="020B0502040204020203" pitchFamily="34" charset="0"/>
              <a:ea typeface="+mn-ea"/>
              <a:cs typeface="Segoe UI" panose="020B0502040204020203" pitchFamily="34" charset="0"/>
            </a:rPr>
            <a:pPr marL="0" indent="0"/>
            <a:t>11,997</a:t>
          </a:fld>
          <a:endParaRPr lang="en-GB" sz="1400" b="1" i="0" u="none" strike="noStrike">
            <a:solidFill>
              <a:srgbClr val="FF0000"/>
            </a:solidFill>
            <a:latin typeface="Segoe UI" panose="020B0502040204020203" pitchFamily="34" charset="0"/>
            <a:ea typeface="+mn-ea"/>
            <a:cs typeface="Segoe UI" panose="020B0502040204020203" pitchFamily="34" charset="0"/>
          </a:endParaRPr>
        </a:p>
      </xdr:txBody>
    </xdr:sp>
    <xdr:clientData/>
  </xdr:twoCellAnchor>
  <xdr:twoCellAnchor>
    <xdr:from>
      <xdr:col>4</xdr:col>
      <xdr:colOff>510540</xdr:colOff>
      <xdr:row>6</xdr:row>
      <xdr:rowOff>91440</xdr:rowOff>
    </xdr:from>
    <xdr:to>
      <xdr:col>6</xdr:col>
      <xdr:colOff>205740</xdr:colOff>
      <xdr:row>8</xdr:row>
      <xdr:rowOff>99060</xdr:rowOff>
    </xdr:to>
    <xdr:sp macro="" textlink="Sheet1!G5">
      <xdr:nvSpPr>
        <xdr:cNvPr id="14" name="TextBox 13">
          <a:extLst>
            <a:ext uri="{FF2B5EF4-FFF2-40B4-BE49-F238E27FC236}">
              <a16:creationId xmlns:a16="http://schemas.microsoft.com/office/drawing/2014/main" id="{2E4A5F53-85DF-1B66-1077-A964E011BB3E}"/>
            </a:ext>
          </a:extLst>
        </xdr:cNvPr>
        <xdr:cNvSpPr txBox="1"/>
      </xdr:nvSpPr>
      <xdr:spPr>
        <a:xfrm>
          <a:off x="2948940" y="1188720"/>
          <a:ext cx="914400" cy="3733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774384-3300-4AD3-AF72-2D8C47585DEB}" type="TxLink">
            <a:rPr lang="en-US" sz="1400" b="1" i="0" u="none" strike="noStrike">
              <a:solidFill>
                <a:srgbClr val="FF0000"/>
              </a:solidFill>
              <a:latin typeface="Segoe UI" panose="020B0502040204020203" pitchFamily="34" charset="0"/>
              <a:cs typeface="Segoe UI" panose="020B0502040204020203" pitchFamily="34" charset="0"/>
            </a:rPr>
            <a:pPr/>
            <a:t>2,400</a:t>
          </a:fld>
          <a:endParaRPr lang="en-GB" sz="1400" b="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10</xdr:col>
      <xdr:colOff>30480</xdr:colOff>
      <xdr:row>5</xdr:row>
      <xdr:rowOff>38100</xdr:rowOff>
    </xdr:from>
    <xdr:to>
      <xdr:col>12</xdr:col>
      <xdr:colOff>457200</xdr:colOff>
      <xdr:row>8</xdr:row>
      <xdr:rowOff>152400</xdr:rowOff>
    </xdr:to>
    <xdr:sp macro="" textlink="">
      <xdr:nvSpPr>
        <xdr:cNvPr id="15" name="TextBox 14">
          <a:extLst>
            <a:ext uri="{FF2B5EF4-FFF2-40B4-BE49-F238E27FC236}">
              <a16:creationId xmlns:a16="http://schemas.microsoft.com/office/drawing/2014/main" id="{53F742BA-E9DE-F703-BEFE-2D71B59C15F6}"/>
            </a:ext>
          </a:extLst>
        </xdr:cNvPr>
        <xdr:cNvSpPr txBox="1"/>
      </xdr:nvSpPr>
      <xdr:spPr>
        <a:xfrm>
          <a:off x="6126480" y="952500"/>
          <a:ext cx="1645920" cy="66294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ln>
                <a:noFill/>
              </a:ln>
              <a:solidFill>
                <a:schemeClr val="bg1"/>
              </a:solidFill>
              <a:effectLst/>
              <a:latin typeface="Segoe UI" panose="020B0502040204020203" pitchFamily="34" charset="0"/>
              <a:ea typeface="+mn-ea"/>
              <a:cs typeface="Segoe UI" panose="020B0502040204020203" pitchFamily="34" charset="0"/>
            </a:rPr>
            <a:t>💲</a:t>
          </a:r>
          <a:r>
            <a:rPr lang="en-GB"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Total</a:t>
          </a:r>
          <a:r>
            <a:rPr lang="en-GB" sz="1400" b="1">
              <a:ln>
                <a:noFill/>
              </a:ln>
              <a:solidFill>
                <a:schemeClr val="tx1"/>
              </a:solidFill>
              <a:effectLst/>
              <a:latin typeface="Segoe UI" panose="020B0502040204020203" pitchFamily="34" charset="0"/>
              <a:ea typeface="+mn-ea"/>
              <a:cs typeface="Segoe UI" panose="020B0502040204020203" pitchFamily="34" charset="0"/>
            </a:rPr>
            <a:t> </a:t>
          </a:r>
          <a:r>
            <a:rPr lang="en-GB"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Revenue</a:t>
          </a:r>
        </a:p>
        <a:p>
          <a:endParaRPr lang="en-GB" sz="1400" b="1">
            <a:ln>
              <a:noFill/>
            </a:ln>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10</xdr:col>
      <xdr:colOff>441960</xdr:colOff>
      <xdr:row>6</xdr:row>
      <xdr:rowOff>129540</xdr:rowOff>
    </xdr:from>
    <xdr:to>
      <xdr:col>12</xdr:col>
      <xdr:colOff>304800</xdr:colOff>
      <xdr:row>8</xdr:row>
      <xdr:rowOff>30480</xdr:rowOff>
    </xdr:to>
    <xdr:sp macro="" textlink="Sheet1!I5">
      <xdr:nvSpPr>
        <xdr:cNvPr id="16" name="TextBox 15">
          <a:extLst>
            <a:ext uri="{FF2B5EF4-FFF2-40B4-BE49-F238E27FC236}">
              <a16:creationId xmlns:a16="http://schemas.microsoft.com/office/drawing/2014/main" id="{8AD0F70E-DC18-764F-E2C0-33370F7411DE}"/>
            </a:ext>
          </a:extLst>
        </xdr:cNvPr>
        <xdr:cNvSpPr txBox="1"/>
      </xdr:nvSpPr>
      <xdr:spPr>
        <a:xfrm>
          <a:off x="6537960" y="1226820"/>
          <a:ext cx="108204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9CB678-840F-453E-8034-45D2471DAF55}" type="TxLink">
            <a:rPr lang="en-US" sz="1400" b="1" i="0" u="none" strike="noStrike">
              <a:solidFill>
                <a:srgbClr val="FF0000"/>
              </a:solidFill>
              <a:latin typeface="Segoe UI" panose="020B0502040204020203" pitchFamily="34" charset="0"/>
              <a:cs typeface="Segoe UI" panose="020B0502040204020203" pitchFamily="34" charset="0"/>
            </a:rPr>
            <a:pPr/>
            <a:t>$649.0k</a:t>
          </a:fld>
          <a:endParaRPr lang="en-GB" sz="1400" b="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12</xdr:col>
      <xdr:colOff>586740</xdr:colOff>
      <xdr:row>5</xdr:row>
      <xdr:rowOff>30480</xdr:rowOff>
    </xdr:from>
    <xdr:to>
      <xdr:col>15</xdr:col>
      <xdr:colOff>502920</xdr:colOff>
      <xdr:row>8</xdr:row>
      <xdr:rowOff>152400</xdr:rowOff>
    </xdr:to>
    <xdr:sp macro="" textlink="">
      <xdr:nvSpPr>
        <xdr:cNvPr id="17" name="TextBox 16">
          <a:extLst>
            <a:ext uri="{FF2B5EF4-FFF2-40B4-BE49-F238E27FC236}">
              <a16:creationId xmlns:a16="http://schemas.microsoft.com/office/drawing/2014/main" id="{CA1D45C5-4597-7E4C-D490-2BED84E67A79}"/>
            </a:ext>
          </a:extLst>
        </xdr:cNvPr>
        <xdr:cNvSpPr txBox="1"/>
      </xdr:nvSpPr>
      <xdr:spPr>
        <a:xfrm>
          <a:off x="7901940" y="944880"/>
          <a:ext cx="1744980" cy="67056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tx1"/>
              </a:solidFill>
              <a:effectLst/>
              <a:latin typeface="+mn-lt"/>
              <a:ea typeface="+mn-ea"/>
              <a:cs typeface="+mn-cs"/>
            </a:rPr>
            <a:t>⭐</a:t>
          </a:r>
          <a:r>
            <a:rPr lang="en-IN"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Average </a:t>
          </a:r>
          <a:r>
            <a:rPr lang="en-GB"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Rating</a:t>
          </a:r>
        </a:p>
        <a:p>
          <a:endParaRPr lang="en-GB" sz="1400" b="1">
            <a:ln>
              <a:noFill/>
            </a:ln>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16</xdr:col>
      <xdr:colOff>114300</xdr:colOff>
      <xdr:row>5</xdr:row>
      <xdr:rowOff>30480</xdr:rowOff>
    </xdr:from>
    <xdr:to>
      <xdr:col>19</xdr:col>
      <xdr:colOff>205740</xdr:colOff>
      <xdr:row>9</xdr:row>
      <xdr:rowOff>15240</xdr:rowOff>
    </xdr:to>
    <xdr:sp macro="" textlink="">
      <xdr:nvSpPr>
        <xdr:cNvPr id="19" name="TextBox 18">
          <a:extLst>
            <a:ext uri="{FF2B5EF4-FFF2-40B4-BE49-F238E27FC236}">
              <a16:creationId xmlns:a16="http://schemas.microsoft.com/office/drawing/2014/main" id="{6CFDDD19-B52F-88AA-CBEF-C6551CDEB62F}"/>
            </a:ext>
          </a:extLst>
        </xdr:cNvPr>
        <xdr:cNvSpPr txBox="1"/>
      </xdr:nvSpPr>
      <xdr:spPr>
        <a:xfrm>
          <a:off x="9867900" y="944880"/>
          <a:ext cx="1920240" cy="71628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u="none" strike="noStrike">
              <a:solidFill>
                <a:schemeClr val="tx1"/>
              </a:solidFill>
              <a:latin typeface="Segoe UI" panose="020B0502040204020203" pitchFamily="34" charset="0"/>
              <a:ea typeface="+mn-ea"/>
              <a:cs typeface="Segoe UI" panose="020B0502040204020203" pitchFamily="34" charset="0"/>
            </a:rPr>
            <a:t>🚚 </a:t>
          </a:r>
          <a:r>
            <a:rPr lang="en-GB"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Days To Deliver.</a:t>
          </a:r>
        </a:p>
        <a:p>
          <a:pPr marL="0" indent="0"/>
          <a:endParaRPr lang="en-GB" sz="1400" b="1">
            <a:ln>
              <a:noFill/>
            </a:ln>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13</xdr:col>
      <xdr:colOff>601980</xdr:colOff>
      <xdr:row>6</xdr:row>
      <xdr:rowOff>144780</xdr:rowOff>
    </xdr:from>
    <xdr:to>
      <xdr:col>15</xdr:col>
      <xdr:colOff>335280</xdr:colOff>
      <xdr:row>8</xdr:row>
      <xdr:rowOff>114300</xdr:rowOff>
    </xdr:to>
    <xdr:sp macro="" textlink="Sheet1!J5">
      <xdr:nvSpPr>
        <xdr:cNvPr id="18" name="TextBox 17">
          <a:extLst>
            <a:ext uri="{FF2B5EF4-FFF2-40B4-BE49-F238E27FC236}">
              <a16:creationId xmlns:a16="http://schemas.microsoft.com/office/drawing/2014/main" id="{D788C5A4-409B-C92F-B8D4-AC75C897E322}"/>
            </a:ext>
          </a:extLst>
        </xdr:cNvPr>
        <xdr:cNvSpPr txBox="1"/>
      </xdr:nvSpPr>
      <xdr:spPr>
        <a:xfrm>
          <a:off x="8526780" y="1242060"/>
          <a:ext cx="952500" cy="335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A39C6C-F5BF-4432-94BA-113D20226170}" type="TxLink">
            <a:rPr lang="en-US" sz="1400" b="1" i="0" u="none" strike="noStrike">
              <a:solidFill>
                <a:srgbClr val="FF0000"/>
              </a:solidFill>
              <a:latin typeface="Segoe UI" panose="020B0502040204020203" pitchFamily="34" charset="0"/>
              <a:ea typeface="+mn-ea"/>
              <a:cs typeface="Segoe UI" panose="020B0502040204020203" pitchFamily="34" charset="0"/>
            </a:rPr>
            <a:pPr marL="0" indent="0"/>
            <a:t>4.0</a:t>
          </a:fld>
          <a:endParaRPr lang="en-GB" sz="1400" b="1" i="0" u="none" strike="noStrike">
            <a:solidFill>
              <a:srgbClr val="FF0000"/>
            </a:solidFill>
            <a:latin typeface="Segoe UI" panose="020B0502040204020203" pitchFamily="34" charset="0"/>
            <a:ea typeface="+mn-ea"/>
            <a:cs typeface="Segoe UI" panose="020B0502040204020203" pitchFamily="34" charset="0"/>
          </a:endParaRPr>
        </a:p>
      </xdr:txBody>
    </xdr:sp>
    <xdr:clientData/>
  </xdr:twoCellAnchor>
  <xdr:twoCellAnchor>
    <xdr:from>
      <xdr:col>17</xdr:col>
      <xdr:colOff>220980</xdr:colOff>
      <xdr:row>6</xdr:row>
      <xdr:rowOff>137160</xdr:rowOff>
    </xdr:from>
    <xdr:to>
      <xdr:col>19</xdr:col>
      <xdr:colOff>160020</xdr:colOff>
      <xdr:row>9</xdr:row>
      <xdr:rowOff>22860</xdr:rowOff>
    </xdr:to>
    <xdr:sp macro="" textlink="Sheet1!K5">
      <xdr:nvSpPr>
        <xdr:cNvPr id="20" name="TextBox 19">
          <a:extLst>
            <a:ext uri="{FF2B5EF4-FFF2-40B4-BE49-F238E27FC236}">
              <a16:creationId xmlns:a16="http://schemas.microsoft.com/office/drawing/2014/main" id="{3C248069-0685-56B0-990B-D75269E0D7B6}"/>
            </a:ext>
          </a:extLst>
        </xdr:cNvPr>
        <xdr:cNvSpPr txBox="1"/>
      </xdr:nvSpPr>
      <xdr:spPr>
        <a:xfrm>
          <a:off x="10584180" y="1234440"/>
          <a:ext cx="1158240" cy="4343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D9035D-1F28-469A-92E4-ABB2082E6558}" type="TxLink">
            <a:rPr lang="en-US" sz="1400" b="1" i="0" u="none" strike="noStrike">
              <a:solidFill>
                <a:srgbClr val="FF0000"/>
              </a:solidFill>
              <a:latin typeface="Segoe UI" panose="020B0502040204020203" pitchFamily="34" charset="0"/>
              <a:ea typeface="+mn-ea"/>
              <a:cs typeface="Segoe UI" panose="020B0502040204020203" pitchFamily="34" charset="0"/>
            </a:rPr>
            <a:pPr marL="0" indent="0"/>
            <a:t>2.3</a:t>
          </a:fld>
          <a:endParaRPr lang="en-GB" sz="1400" b="1" i="0" u="none" strike="noStrike">
            <a:solidFill>
              <a:srgbClr val="FF0000"/>
            </a:solidFill>
            <a:latin typeface="Segoe UI" panose="020B0502040204020203" pitchFamily="34" charset="0"/>
            <a:ea typeface="+mn-ea"/>
            <a:cs typeface="Segoe UI" panose="020B0502040204020203" pitchFamily="34" charset="0"/>
          </a:endParaRPr>
        </a:p>
      </xdr:txBody>
    </xdr:sp>
    <xdr:clientData/>
  </xdr:twoCellAnchor>
  <xdr:twoCellAnchor>
    <xdr:from>
      <xdr:col>9</xdr:col>
      <xdr:colOff>350520</xdr:colOff>
      <xdr:row>19</xdr:row>
      <xdr:rowOff>137160</xdr:rowOff>
    </xdr:from>
    <xdr:to>
      <xdr:col>16</xdr:col>
      <xdr:colOff>15240</xdr:colOff>
      <xdr:row>32</xdr:row>
      <xdr:rowOff>106680</xdr:rowOff>
    </xdr:to>
    <xdr:graphicFrame macro="">
      <xdr:nvGraphicFramePr>
        <xdr:cNvPr id="21" name="Chart 20">
          <a:extLst>
            <a:ext uri="{FF2B5EF4-FFF2-40B4-BE49-F238E27FC236}">
              <a16:creationId xmlns:a16="http://schemas.microsoft.com/office/drawing/2014/main" id="{7CD83A8E-2E0E-4D84-854C-B8F15BF7B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243840</xdr:colOff>
      <xdr:row>5</xdr:row>
      <xdr:rowOff>30480</xdr:rowOff>
    </xdr:from>
    <xdr:to>
      <xdr:col>22</xdr:col>
      <xdr:colOff>586740</xdr:colOff>
      <xdr:row>9</xdr:row>
      <xdr:rowOff>45720</xdr:rowOff>
    </xdr:to>
    <xdr:sp macro="" textlink="">
      <xdr:nvSpPr>
        <xdr:cNvPr id="9" name="Rectangle: Rounded Corners 8">
          <a:extLst>
            <a:ext uri="{FF2B5EF4-FFF2-40B4-BE49-F238E27FC236}">
              <a16:creationId xmlns:a16="http://schemas.microsoft.com/office/drawing/2014/main" id="{77F651E3-8FA2-8C13-94B4-76BB2B754A1B}"/>
            </a:ext>
          </a:extLst>
        </xdr:cNvPr>
        <xdr:cNvSpPr/>
      </xdr:nvSpPr>
      <xdr:spPr>
        <a:xfrm>
          <a:off x="11826240" y="944880"/>
          <a:ext cx="2171700" cy="7467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SnS</a:t>
          </a:r>
        </a:p>
      </xdr:txBody>
    </xdr:sp>
    <xdr:clientData/>
  </xdr:twoCellAnchor>
  <xdr:oneCellAnchor>
    <xdr:from>
      <xdr:col>19</xdr:col>
      <xdr:colOff>381000</xdr:colOff>
      <xdr:row>4</xdr:row>
      <xdr:rowOff>167640</xdr:rowOff>
    </xdr:from>
    <xdr:ext cx="2347182" cy="998220"/>
    <xdr:sp macro="" textlink="">
      <xdr:nvSpPr>
        <xdr:cNvPr id="10" name="TextBox 9">
          <a:extLst>
            <a:ext uri="{FF2B5EF4-FFF2-40B4-BE49-F238E27FC236}">
              <a16:creationId xmlns:a16="http://schemas.microsoft.com/office/drawing/2014/main" id="{F2B88CE9-B004-BF9F-6202-34E9C6E6EB1C}"/>
            </a:ext>
          </a:extLst>
        </xdr:cNvPr>
        <xdr:cNvSpPr txBox="1"/>
      </xdr:nvSpPr>
      <xdr:spPr>
        <a:xfrm>
          <a:off x="11963400" y="899160"/>
          <a:ext cx="2347182" cy="998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Top Selling </a:t>
          </a:r>
        </a:p>
        <a:p>
          <a:r>
            <a:rPr lang="en-GB" sz="1400" b="1">
              <a:ln>
                <a:noFill/>
              </a:ln>
              <a:solidFill>
                <a:schemeClr val="tx1">
                  <a:lumMod val="75000"/>
                  <a:lumOff val="25000"/>
                </a:schemeClr>
              </a:solidFill>
              <a:latin typeface="Segoe UI" panose="020B0502040204020203" pitchFamily="34" charset="0"/>
              <a:ea typeface="+mn-ea"/>
              <a:cs typeface="Segoe UI" panose="020B0502040204020203" pitchFamily="34" charset="0"/>
            </a:rPr>
            <a:t>Product  </a:t>
          </a:r>
        </a:p>
      </xdr:txBody>
    </xdr:sp>
    <xdr:clientData/>
  </xdr:oneCellAnchor>
  <xdr:oneCellAnchor>
    <xdr:from>
      <xdr:col>20</xdr:col>
      <xdr:colOff>441960</xdr:colOff>
      <xdr:row>3</xdr:row>
      <xdr:rowOff>129540</xdr:rowOff>
    </xdr:from>
    <xdr:ext cx="1135380" cy="891540"/>
    <xdr:sp macro="" textlink="">
      <xdr:nvSpPr>
        <xdr:cNvPr id="22" name="TextBox 21">
          <a:extLst>
            <a:ext uri="{FF2B5EF4-FFF2-40B4-BE49-F238E27FC236}">
              <a16:creationId xmlns:a16="http://schemas.microsoft.com/office/drawing/2014/main" id="{8EE70896-A16E-5A3D-CCCA-67DA58EF7B2A}"/>
            </a:ext>
          </a:extLst>
        </xdr:cNvPr>
        <xdr:cNvSpPr txBox="1"/>
      </xdr:nvSpPr>
      <xdr:spPr>
        <a:xfrm rot="19467902">
          <a:off x="12633960" y="678180"/>
          <a:ext cx="1135380" cy="891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r>
            <a:rPr lang="en-IN" sz="4800" b="1">
              <a:solidFill>
                <a:schemeClr val="tx1"/>
              </a:solidFill>
              <a:effectLst/>
              <a:latin typeface="+mn-lt"/>
              <a:ea typeface="+mn-ea"/>
              <a:cs typeface="+mn-cs"/>
            </a:rPr>
            <a:t>👟</a:t>
          </a:r>
          <a:endParaRPr lang="en-GB" sz="4800"/>
        </a:p>
      </xdr:txBody>
    </xdr:sp>
    <xdr:clientData/>
  </xdr:oneCellAnchor>
  <xdr:twoCellAnchor>
    <xdr:from>
      <xdr:col>3</xdr:col>
      <xdr:colOff>281940</xdr:colOff>
      <xdr:row>10</xdr:row>
      <xdr:rowOff>114300</xdr:rowOff>
    </xdr:from>
    <xdr:to>
      <xdr:col>9</xdr:col>
      <xdr:colOff>53340</xdr:colOff>
      <xdr:row>31</xdr:row>
      <xdr:rowOff>68580</xdr:rowOff>
    </xdr:to>
    <xdr:graphicFrame macro="">
      <xdr:nvGraphicFramePr>
        <xdr:cNvPr id="25" name="Chart 24">
          <a:extLst>
            <a:ext uri="{FF2B5EF4-FFF2-40B4-BE49-F238E27FC236}">
              <a16:creationId xmlns:a16="http://schemas.microsoft.com/office/drawing/2014/main" id="{1DDB64AA-78E6-4494-A5DA-759D2D167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464820</xdr:colOff>
      <xdr:row>9</xdr:row>
      <xdr:rowOff>152400</xdr:rowOff>
    </xdr:from>
    <xdr:to>
      <xdr:col>21</xdr:col>
      <xdr:colOff>579120</xdr:colOff>
      <xdr:row>31</xdr:row>
      <xdr:rowOff>91440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6E8E8A72-F2B0-4009-AD45-E08E50E6D5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218420" y="1798320"/>
              <a:ext cx="3162300" cy="39624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160020</xdr:colOff>
      <xdr:row>9</xdr:row>
      <xdr:rowOff>160020</xdr:rowOff>
    </xdr:from>
    <xdr:to>
      <xdr:col>16</xdr:col>
      <xdr:colOff>365760</xdr:colOff>
      <xdr:row>19</xdr:row>
      <xdr:rowOff>106680</xdr:rowOff>
    </xdr:to>
    <xdr:sp macro="" textlink="">
      <xdr:nvSpPr>
        <xdr:cNvPr id="3" name="Rectangle: Rounded Corners 2">
          <a:extLst>
            <a:ext uri="{FF2B5EF4-FFF2-40B4-BE49-F238E27FC236}">
              <a16:creationId xmlns:a16="http://schemas.microsoft.com/office/drawing/2014/main" id="{29BB90BB-3D00-160E-9161-3728CEAAC852}"/>
            </a:ext>
          </a:extLst>
        </xdr:cNvPr>
        <xdr:cNvSpPr/>
      </xdr:nvSpPr>
      <xdr:spPr>
        <a:xfrm>
          <a:off x="5646420" y="1805940"/>
          <a:ext cx="4472940" cy="177546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GB" sz="1100"/>
        </a:p>
      </xdr:txBody>
    </xdr:sp>
    <xdr:clientData/>
  </xdr:twoCellAnchor>
  <xdr:twoCellAnchor editAs="oneCell">
    <xdr:from>
      <xdr:col>9</xdr:col>
      <xdr:colOff>205741</xdr:colOff>
      <xdr:row>11</xdr:row>
      <xdr:rowOff>60959</xdr:rowOff>
    </xdr:from>
    <xdr:to>
      <xdr:col>16</xdr:col>
      <xdr:colOff>360847</xdr:colOff>
      <xdr:row>19</xdr:row>
      <xdr:rowOff>83820</xdr:rowOff>
    </xdr:to>
    <xdr:pic>
      <xdr:nvPicPr>
        <xdr:cNvPr id="24" name="Picture 23">
          <a:extLst>
            <a:ext uri="{FF2B5EF4-FFF2-40B4-BE49-F238E27FC236}">
              <a16:creationId xmlns:a16="http://schemas.microsoft.com/office/drawing/2014/main" id="{043CBD23-6ED2-5027-5241-FDF8B864769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5692141" y="2072639"/>
          <a:ext cx="4422306" cy="1485901"/>
        </a:xfrm>
        <a:prstGeom prst="roundRect">
          <a:avLst/>
        </a:prstGeom>
        <a:ln>
          <a:solidFill>
            <a:schemeClr val="bg1"/>
          </a:solidFill>
        </a:ln>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381000</xdr:colOff>
      <xdr:row>9</xdr:row>
      <xdr:rowOff>160020</xdr:rowOff>
    </xdr:from>
    <xdr:to>
      <xdr:col>15</xdr:col>
      <xdr:colOff>30480</xdr:colOff>
      <xdr:row>11</xdr:row>
      <xdr:rowOff>76200</xdr:rowOff>
    </xdr:to>
    <xdr:sp macro="" textlink="">
      <xdr:nvSpPr>
        <xdr:cNvPr id="23" name="TextBox 22">
          <a:extLst>
            <a:ext uri="{FF2B5EF4-FFF2-40B4-BE49-F238E27FC236}">
              <a16:creationId xmlns:a16="http://schemas.microsoft.com/office/drawing/2014/main" id="{E9554B89-1DB4-735C-7E8C-6E45D3C40F7B}"/>
            </a:ext>
          </a:extLst>
        </xdr:cNvPr>
        <xdr:cNvSpPr txBox="1"/>
      </xdr:nvSpPr>
      <xdr:spPr>
        <a:xfrm>
          <a:off x="7086600" y="1805940"/>
          <a:ext cx="208788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ysClr val="windowText" lastClr="000000"/>
              </a:solidFill>
            </a:rPr>
            <a:t>How They Like To Buy</a:t>
          </a:r>
          <a:r>
            <a:rPr lang="en-GB" sz="1400" b="1" baseline="0">
              <a:solidFill>
                <a:sysClr val="windowText" lastClr="000000"/>
              </a:solidFill>
            </a:rPr>
            <a:t> </a:t>
          </a:r>
          <a:r>
            <a:rPr lang="en-IN" sz="1400" b="1" baseline="0">
              <a:solidFill>
                <a:sysClr val="windowText" lastClr="000000"/>
              </a:solidFill>
            </a:rPr>
            <a:t>🤔</a:t>
          </a:r>
          <a:endParaRPr lang="en-GB" sz="14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985.024435763888" createdVersion="8" refreshedVersion="8" minRefreshableVersion="3" recordCount="2400" xr:uid="{A43F236A-3A13-49A9-A14B-F533596126C9}">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919751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n v="5"/>
    <x v="0"/>
    <x v="0"/>
  </r>
  <r>
    <s v="TX500002"/>
    <x v="1"/>
    <x v="1"/>
    <n v="30.6"/>
    <n v="61.2"/>
    <x v="0"/>
    <d v="2025-01-03T00:00:00"/>
    <s v="M"/>
    <x v="0"/>
    <x v="0"/>
    <x v="0"/>
    <x v="1"/>
    <n v="2"/>
    <x v="0"/>
    <x v="1"/>
  </r>
  <r>
    <s v="TX500003"/>
    <x v="2"/>
    <x v="2"/>
    <n v="109.4"/>
    <n v="328.20000000000005"/>
    <x v="0"/>
    <d v="2025-01-04T00:00:00"/>
    <s v="F"/>
    <x v="0"/>
    <x v="1"/>
    <x v="0"/>
    <x v="2"/>
    <n v="3"/>
    <x v="0"/>
    <x v="2"/>
  </r>
  <r>
    <s v="TX500004"/>
    <x v="3"/>
    <x v="3"/>
    <n v="37.700000000000003"/>
    <n v="263.90000000000003"/>
    <x v="0"/>
    <d v="2025-01-02T00:00:00"/>
    <s v="F"/>
    <x v="0"/>
    <x v="0"/>
    <x v="0"/>
    <x v="2"/>
    <n v="1"/>
    <x v="0"/>
    <x v="2"/>
  </r>
  <r>
    <s v="TX500005"/>
    <x v="4"/>
    <x v="2"/>
    <n v="56.7"/>
    <n v="170.10000000000002"/>
    <x v="0"/>
    <d v="2025-01-04T00:00:00"/>
    <s v="F"/>
    <x v="0"/>
    <x v="2"/>
    <x v="0"/>
    <x v="3"/>
    <n v="3"/>
    <x v="0"/>
    <x v="2"/>
  </r>
  <r>
    <s v="TX500006"/>
    <x v="1"/>
    <x v="4"/>
    <n v="83.5"/>
    <n v="1002"/>
    <x v="0"/>
    <d v="2025-01-04T00:00:00"/>
    <s v="M"/>
    <x v="1"/>
    <x v="0"/>
    <x v="0"/>
    <x v="3"/>
    <n v="3"/>
    <x v="0"/>
    <x v="1"/>
  </r>
  <r>
    <s v="TX500007"/>
    <x v="5"/>
    <x v="0"/>
    <n v="55.3"/>
    <n v="55.3"/>
    <x v="0"/>
    <d v="2025-01-02T00:00:00"/>
    <s v="F"/>
    <x v="0"/>
    <x v="0"/>
    <x v="0"/>
    <x v="3"/>
    <n v="1"/>
    <x v="0"/>
    <x v="2"/>
  </r>
  <r>
    <s v="TX500008"/>
    <x v="6"/>
    <x v="1"/>
    <n v="40.299999999999997"/>
    <n v="80.599999999999994"/>
    <x v="0"/>
    <d v="2025-01-02T00:00:00"/>
    <s v="M"/>
    <x v="2"/>
    <x v="2"/>
    <x v="0"/>
    <x v="3"/>
    <n v="1"/>
    <x v="0"/>
    <x v="1"/>
  </r>
  <r>
    <s v="TX500009"/>
    <x v="7"/>
    <x v="5"/>
    <n v="35.700000000000003"/>
    <n v="392.70000000000005"/>
    <x v="0"/>
    <d v="2025-01-02T00:00:00"/>
    <s v="F"/>
    <x v="0"/>
    <x v="0"/>
    <x v="0"/>
    <x v="3"/>
    <n v="1"/>
    <x v="0"/>
    <x v="2"/>
  </r>
  <r>
    <s v="TX500010"/>
    <x v="8"/>
    <x v="3"/>
    <n v="22.4"/>
    <n v="156.79999999999998"/>
    <x v="0"/>
    <d v="2025-01-04T00:00:00"/>
    <s v="M"/>
    <x v="0"/>
    <x v="1"/>
    <x v="0"/>
    <x v="3"/>
    <n v="3"/>
    <x v="0"/>
    <x v="1"/>
  </r>
  <r>
    <s v="TX500011"/>
    <x v="9"/>
    <x v="1"/>
    <n v="54.4"/>
    <n v="108.8"/>
    <x v="0"/>
    <d v="2025-01-07T00:00:00"/>
    <s v="F"/>
    <x v="0"/>
    <x v="0"/>
    <x v="0"/>
    <x v="3"/>
    <n v="6"/>
    <x v="0"/>
    <x v="2"/>
  </r>
  <r>
    <s v="TX500012"/>
    <x v="9"/>
    <x v="1"/>
    <n v="49"/>
    <n v="98"/>
    <x v="0"/>
    <d v="2025-01-03T00:00:00"/>
    <s v="F"/>
    <x v="2"/>
    <x v="1"/>
    <x v="0"/>
    <x v="3"/>
    <n v="2"/>
    <x v="0"/>
    <x v="2"/>
  </r>
  <r>
    <s v="TX500013"/>
    <x v="5"/>
    <x v="3"/>
    <n v="118.6"/>
    <n v="830.19999999999993"/>
    <x v="0"/>
    <d v="2025-01-05T00:00:00"/>
    <s v="F"/>
    <x v="1"/>
    <x v="0"/>
    <x v="0"/>
    <x v="4"/>
    <n v="4"/>
    <x v="0"/>
    <x v="2"/>
  </r>
  <r>
    <s v="TX500014"/>
    <x v="6"/>
    <x v="6"/>
    <n v="88.4"/>
    <n v="2386.8000000000002"/>
    <x v="0"/>
    <d v="2025-01-08T00:00:00"/>
    <s v="M"/>
    <x v="3"/>
    <x v="0"/>
    <x v="0"/>
    <x v="5"/>
    <n v="7"/>
    <x v="0"/>
    <x v="1"/>
  </r>
  <r>
    <s v="TX500015"/>
    <x v="10"/>
    <x v="0"/>
    <n v="66.7"/>
    <n v="66.7"/>
    <x v="0"/>
    <d v="2025-01-04T00:00:00"/>
    <s v="M"/>
    <x v="0"/>
    <x v="0"/>
    <x v="0"/>
    <x v="6"/>
    <n v="3"/>
    <x v="0"/>
    <x v="1"/>
  </r>
  <r>
    <s v="TX500016"/>
    <x v="9"/>
    <x v="7"/>
    <n v="30.9"/>
    <n v="309"/>
    <x v="0"/>
    <d v="2025-01-02T00:00:00"/>
    <s v="M"/>
    <x v="1"/>
    <x v="2"/>
    <x v="0"/>
    <x v="6"/>
    <n v="1"/>
    <x v="0"/>
    <x v="1"/>
  </r>
  <r>
    <s v="TX500017"/>
    <x v="4"/>
    <x v="2"/>
    <n v="31.1"/>
    <n v="93.300000000000011"/>
    <x v="0"/>
    <d v="2025-01-02T00:00:00"/>
    <s v="F"/>
    <x v="0"/>
    <x v="1"/>
    <x v="0"/>
    <x v="6"/>
    <n v="1"/>
    <x v="0"/>
    <x v="2"/>
  </r>
  <r>
    <s v="TX500018"/>
    <x v="7"/>
    <x v="2"/>
    <n v="36.6"/>
    <n v="109.80000000000001"/>
    <x v="0"/>
    <d v="2025-01-04T00:00:00"/>
    <s v="F"/>
    <x v="0"/>
    <x v="0"/>
    <x v="0"/>
    <x v="7"/>
    <n v="3"/>
    <x v="0"/>
    <x v="2"/>
  </r>
  <r>
    <s v="TX500019"/>
    <x v="6"/>
    <x v="8"/>
    <n v="51.1"/>
    <n v="408.8"/>
    <x v="0"/>
    <d v="2025-01-04T00:00:00"/>
    <s v="F"/>
    <x v="2"/>
    <x v="3"/>
    <x v="0"/>
    <x v="7"/>
    <n v="3"/>
    <x v="0"/>
    <x v="2"/>
  </r>
  <r>
    <s v="TX500020"/>
    <x v="9"/>
    <x v="0"/>
    <n v="25.2"/>
    <n v="25.2"/>
    <x v="0"/>
    <d v="2025-01-02T00:00:00"/>
    <s v="F"/>
    <x v="1"/>
    <x v="2"/>
    <x v="0"/>
    <x v="8"/>
    <n v="1"/>
    <x v="0"/>
    <x v="2"/>
  </r>
  <r>
    <s v="TX500021"/>
    <x v="9"/>
    <x v="9"/>
    <n v="43.8"/>
    <n v="219"/>
    <x v="0"/>
    <d v="2025-01-04T00:00:00"/>
    <s v="F"/>
    <x v="2"/>
    <x v="0"/>
    <x v="0"/>
    <x v="8"/>
    <n v="3"/>
    <x v="0"/>
    <x v="2"/>
  </r>
  <r>
    <s v="TX500022"/>
    <x v="8"/>
    <x v="4"/>
    <n v="46.7"/>
    <n v="560.40000000000009"/>
    <x v="0"/>
    <d v="2025-01-02T00:00:00"/>
    <s v="F"/>
    <x v="1"/>
    <x v="1"/>
    <x v="0"/>
    <x v="8"/>
    <n v="1"/>
    <x v="0"/>
    <x v="2"/>
  </r>
  <r>
    <s v="TX500023"/>
    <x v="3"/>
    <x v="10"/>
    <n v="79.900000000000006"/>
    <n v="1518.1000000000001"/>
    <x v="0"/>
    <d v="2025-01-02T00:00:00"/>
    <s v="M"/>
    <x v="0"/>
    <x v="2"/>
    <x v="0"/>
    <x v="8"/>
    <n v="1"/>
    <x v="0"/>
    <x v="1"/>
  </r>
  <r>
    <s v="TX500024"/>
    <x v="11"/>
    <x v="8"/>
    <n v="26.4"/>
    <n v="211.2"/>
    <x v="0"/>
    <d v="2025-01-02T00:00:00"/>
    <s v="F"/>
    <x v="3"/>
    <x v="0"/>
    <x v="0"/>
    <x v="8"/>
    <n v="1"/>
    <x v="0"/>
    <x v="2"/>
  </r>
  <r>
    <s v="TX500025"/>
    <x v="12"/>
    <x v="8"/>
    <n v="88.8"/>
    <n v="710.4"/>
    <x v="0"/>
    <d v="2025-01-02T00:00:00"/>
    <s v="F"/>
    <x v="4"/>
    <x v="0"/>
    <x v="0"/>
    <x v="8"/>
    <n v="1"/>
    <x v="0"/>
    <x v="2"/>
  </r>
  <r>
    <s v="TX500026"/>
    <x v="0"/>
    <x v="7"/>
    <n v="17.5"/>
    <n v="175"/>
    <x v="0"/>
    <d v="2025-01-02T00:00:00"/>
    <s v="F"/>
    <x v="2"/>
    <x v="0"/>
    <x v="0"/>
    <x v="9"/>
    <n v="1"/>
    <x v="0"/>
    <x v="2"/>
  </r>
  <r>
    <s v="TX500027"/>
    <x v="1"/>
    <x v="11"/>
    <n v="38.700000000000003"/>
    <n v="348.3"/>
    <x v="0"/>
    <d v="2025-01-04T00:00:00"/>
    <s v="M"/>
    <x v="1"/>
    <x v="0"/>
    <x v="0"/>
    <x v="10"/>
    <n v="3"/>
    <x v="0"/>
    <x v="1"/>
  </r>
  <r>
    <s v="TX500028"/>
    <x v="13"/>
    <x v="12"/>
    <n v="57.2"/>
    <n v="228.8"/>
    <x v="0"/>
    <d v="2025-01-03T00:00:00"/>
    <s v=""/>
    <x v="1"/>
    <x v="2"/>
    <x v="0"/>
    <x v="11"/>
    <n v="2"/>
    <x v="0"/>
    <x v="0"/>
  </r>
  <r>
    <s v="TX500029"/>
    <x v="6"/>
    <x v="9"/>
    <n v="50.9"/>
    <n v="254.5"/>
    <x v="0"/>
    <d v="2025-01-07T00:00:00"/>
    <s v=""/>
    <x v="1"/>
    <x v="2"/>
    <x v="0"/>
    <x v="12"/>
    <n v="6"/>
    <x v="0"/>
    <x v="0"/>
  </r>
  <r>
    <s v="TX500030"/>
    <x v="14"/>
    <x v="3"/>
    <n v="41"/>
    <n v="287"/>
    <x v="0"/>
    <d v="2025-01-05T00:00:00"/>
    <s v="F"/>
    <x v="1"/>
    <x v="0"/>
    <x v="0"/>
    <x v="13"/>
    <n v="4"/>
    <x v="0"/>
    <x v="2"/>
  </r>
  <r>
    <s v="TX500031"/>
    <x v="8"/>
    <x v="3"/>
    <n v="19.100000000000001"/>
    <n v="133.70000000000002"/>
    <x v="0"/>
    <d v="2025-01-05T00:00:00"/>
    <s v="M"/>
    <x v="0"/>
    <x v="2"/>
    <x v="0"/>
    <x v="14"/>
    <n v="4"/>
    <x v="0"/>
    <x v="1"/>
  </r>
  <r>
    <s v="TX500032"/>
    <x v="2"/>
    <x v="9"/>
    <n v="166.1"/>
    <n v="830.5"/>
    <x v="0"/>
    <d v="2025-01-04T00:00:00"/>
    <s v="M"/>
    <x v="0"/>
    <x v="0"/>
    <x v="0"/>
    <x v="15"/>
    <n v="3"/>
    <x v="0"/>
    <x v="1"/>
  </r>
  <r>
    <s v="TX500033"/>
    <x v="4"/>
    <x v="2"/>
    <n v="29.9"/>
    <n v="89.699999999999989"/>
    <x v="0"/>
    <d v="2025-01-02T00:00:00"/>
    <s v="M"/>
    <x v="3"/>
    <x v="0"/>
    <x v="0"/>
    <x v="3"/>
    <n v="1"/>
    <x v="0"/>
    <x v="1"/>
  </r>
  <r>
    <s v="TX500034"/>
    <x v="10"/>
    <x v="13"/>
    <n v="21.7"/>
    <n v="130.19999999999999"/>
    <x v="0"/>
    <d v="2025-01-03T00:00:00"/>
    <s v="O"/>
    <x v="2"/>
    <x v="2"/>
    <x v="0"/>
    <x v="3"/>
    <n v="2"/>
    <x v="0"/>
    <x v="3"/>
  </r>
  <r>
    <s v="TX500035"/>
    <x v="11"/>
    <x v="1"/>
    <n v="32"/>
    <n v="64"/>
    <x v="0"/>
    <d v="2025-01-04T00:00:00"/>
    <s v="M"/>
    <x v="0"/>
    <x v="2"/>
    <x v="0"/>
    <x v="3"/>
    <n v="3"/>
    <x v="0"/>
    <x v="1"/>
  </r>
  <r>
    <s v="TX500036"/>
    <x v="8"/>
    <x v="1"/>
    <n v="15.8"/>
    <n v="31.6"/>
    <x v="0"/>
    <d v="2025-01-02T00:00:00"/>
    <s v="M"/>
    <x v="4"/>
    <x v="2"/>
    <x v="0"/>
    <x v="3"/>
    <n v="1"/>
    <x v="0"/>
    <x v="1"/>
  </r>
  <r>
    <s v="TX500037"/>
    <x v="2"/>
    <x v="14"/>
    <n v="203.1"/>
    <n v="3452.7"/>
    <x v="0"/>
    <d v="2025-01-05T00:00:00"/>
    <s v="M"/>
    <x v="3"/>
    <x v="1"/>
    <x v="0"/>
    <x v="3"/>
    <n v="4"/>
    <x v="0"/>
    <x v="1"/>
  </r>
  <r>
    <s v="TX500038"/>
    <x v="7"/>
    <x v="15"/>
    <n v="39"/>
    <n v="507"/>
    <x v="0"/>
    <d v="2025-01-07T00:00:00"/>
    <s v="M"/>
    <x v="0"/>
    <x v="2"/>
    <x v="0"/>
    <x v="3"/>
    <n v="6"/>
    <x v="0"/>
    <x v="1"/>
  </r>
  <r>
    <s v="TX500039"/>
    <x v="10"/>
    <x v="0"/>
    <n v="26.5"/>
    <n v="26.5"/>
    <x v="1"/>
    <d v="2025-01-03T00:00:00"/>
    <s v="M"/>
    <x v="2"/>
    <x v="0"/>
    <x v="0"/>
    <x v="3"/>
    <n v="1"/>
    <x v="0"/>
    <x v="1"/>
  </r>
  <r>
    <s v="TX500040"/>
    <x v="5"/>
    <x v="0"/>
    <n v="43.1"/>
    <n v="43.1"/>
    <x v="1"/>
    <d v="2025-01-03T00:00:00"/>
    <s v="F"/>
    <x v="2"/>
    <x v="1"/>
    <x v="0"/>
    <x v="3"/>
    <n v="1"/>
    <x v="0"/>
    <x v="2"/>
  </r>
  <r>
    <s v="TX500041"/>
    <x v="1"/>
    <x v="2"/>
    <n v="139"/>
    <n v="417"/>
    <x v="1"/>
    <d v="2025-01-03T00:00:00"/>
    <s v="F"/>
    <x v="4"/>
    <x v="2"/>
    <x v="0"/>
    <x v="3"/>
    <n v="1"/>
    <x v="0"/>
    <x v="2"/>
  </r>
  <r>
    <s v="TX500042"/>
    <x v="12"/>
    <x v="0"/>
    <n v="80.7"/>
    <n v="80.7"/>
    <x v="1"/>
    <d v="2025-01-03T00:00:00"/>
    <s v="M"/>
    <x v="0"/>
    <x v="2"/>
    <x v="0"/>
    <x v="16"/>
    <n v="1"/>
    <x v="0"/>
    <x v="1"/>
  </r>
  <r>
    <s v="TX500043"/>
    <x v="4"/>
    <x v="1"/>
    <n v="54.5"/>
    <n v="109"/>
    <x v="1"/>
    <d v="2025-01-04T00:00:00"/>
    <s v="M"/>
    <x v="1"/>
    <x v="1"/>
    <x v="0"/>
    <x v="6"/>
    <n v="2"/>
    <x v="0"/>
    <x v="1"/>
  </r>
  <r>
    <s v="TX500044"/>
    <x v="6"/>
    <x v="2"/>
    <n v="68.599999999999994"/>
    <n v="205.79999999999998"/>
    <x v="1"/>
    <d v="2025-01-02T00:00:00"/>
    <s v="F"/>
    <x v="0"/>
    <x v="1"/>
    <x v="0"/>
    <x v="8"/>
    <n v="0"/>
    <x v="0"/>
    <x v="2"/>
  </r>
  <r>
    <s v="TX500045"/>
    <x v="2"/>
    <x v="12"/>
    <n v="135.9"/>
    <n v="543.6"/>
    <x v="1"/>
    <d v="2025-01-03T00:00:00"/>
    <s v="F"/>
    <x v="2"/>
    <x v="2"/>
    <x v="0"/>
    <x v="8"/>
    <n v="1"/>
    <x v="0"/>
    <x v="2"/>
  </r>
  <r>
    <s v="TX500046"/>
    <x v="2"/>
    <x v="12"/>
    <n v="70.900000000000006"/>
    <n v="283.60000000000002"/>
    <x v="1"/>
    <d v="2025-01-03T00:00:00"/>
    <s v="F"/>
    <x v="0"/>
    <x v="0"/>
    <x v="0"/>
    <x v="17"/>
    <n v="1"/>
    <x v="0"/>
    <x v="2"/>
  </r>
  <r>
    <s v="TX500047"/>
    <x v="1"/>
    <x v="9"/>
    <n v="63.7"/>
    <n v="318.5"/>
    <x v="1"/>
    <d v="2025-01-03T00:00:00"/>
    <s v="M"/>
    <x v="1"/>
    <x v="1"/>
    <x v="0"/>
    <x v="9"/>
    <n v="1"/>
    <x v="0"/>
    <x v="1"/>
  </r>
  <r>
    <s v="TX500048"/>
    <x v="13"/>
    <x v="0"/>
    <n v="29.7"/>
    <n v="29.7"/>
    <x v="1"/>
    <d v="2025-01-04T00:00:00"/>
    <s v="F"/>
    <x v="1"/>
    <x v="0"/>
    <x v="0"/>
    <x v="11"/>
    <n v="2"/>
    <x v="0"/>
    <x v="2"/>
  </r>
  <r>
    <s v="TX500049"/>
    <x v="4"/>
    <x v="2"/>
    <n v="26.8"/>
    <n v="80.400000000000006"/>
    <x v="1"/>
    <d v="2025-01-11T00:00:00"/>
    <s v="F"/>
    <x v="1"/>
    <x v="2"/>
    <x v="0"/>
    <x v="11"/>
    <n v="9"/>
    <x v="0"/>
    <x v="2"/>
  </r>
  <r>
    <s v="TX500050"/>
    <x v="14"/>
    <x v="0"/>
    <n v="27"/>
    <n v="27"/>
    <x v="1"/>
    <d v="2025-01-04T00:00:00"/>
    <s v="F"/>
    <x v="0"/>
    <x v="0"/>
    <x v="0"/>
    <x v="18"/>
    <n v="2"/>
    <x v="0"/>
    <x v="2"/>
  </r>
  <r>
    <s v="TX500051"/>
    <x v="8"/>
    <x v="0"/>
    <n v="41.4"/>
    <n v="41.4"/>
    <x v="1"/>
    <d v="2025-01-03T00:00:00"/>
    <s v="M"/>
    <x v="1"/>
    <x v="2"/>
    <x v="0"/>
    <x v="19"/>
    <n v="1"/>
    <x v="0"/>
    <x v="1"/>
  </r>
  <r>
    <s v="TX500052"/>
    <x v="8"/>
    <x v="1"/>
    <n v="24.3"/>
    <n v="48.6"/>
    <x v="1"/>
    <d v="2025-01-05T00:00:00"/>
    <s v="F"/>
    <x v="1"/>
    <x v="0"/>
    <x v="0"/>
    <x v="19"/>
    <n v="3"/>
    <x v="0"/>
    <x v="2"/>
  </r>
  <r>
    <s v="TX500053"/>
    <x v="8"/>
    <x v="2"/>
    <n v="41.7"/>
    <n v="125.10000000000001"/>
    <x v="1"/>
    <d v="2025-01-04T00:00:00"/>
    <s v="M"/>
    <x v="0"/>
    <x v="2"/>
    <x v="0"/>
    <x v="20"/>
    <n v="2"/>
    <x v="0"/>
    <x v="1"/>
  </r>
  <r>
    <s v="TX500054"/>
    <x v="0"/>
    <x v="1"/>
    <n v="18"/>
    <n v="36"/>
    <x v="1"/>
    <d v="2025-01-03T00:00:00"/>
    <s v="F"/>
    <x v="0"/>
    <x v="2"/>
    <x v="0"/>
    <x v="21"/>
    <n v="1"/>
    <x v="0"/>
    <x v="2"/>
  </r>
  <r>
    <s v="TX500055"/>
    <x v="7"/>
    <x v="2"/>
    <n v="91.3"/>
    <n v="273.89999999999998"/>
    <x v="1"/>
    <d v="2025-01-05T00:00:00"/>
    <s v="M"/>
    <x v="2"/>
    <x v="2"/>
    <x v="0"/>
    <x v="3"/>
    <n v="3"/>
    <x v="0"/>
    <x v="1"/>
  </r>
  <r>
    <s v="TX500056"/>
    <x v="8"/>
    <x v="8"/>
    <n v="19.3"/>
    <n v="154.4"/>
    <x v="1"/>
    <d v="2025-01-03T00:00:00"/>
    <s v="M"/>
    <x v="0"/>
    <x v="0"/>
    <x v="0"/>
    <x v="3"/>
    <n v="1"/>
    <x v="0"/>
    <x v="1"/>
  </r>
  <r>
    <s v="TX500057"/>
    <x v="12"/>
    <x v="15"/>
    <n v="63.2"/>
    <n v="821.6"/>
    <x v="1"/>
    <d v="2025-01-03T00:00:00"/>
    <s v="F"/>
    <x v="0"/>
    <x v="0"/>
    <x v="0"/>
    <x v="3"/>
    <n v="1"/>
    <x v="0"/>
    <x v="2"/>
  </r>
  <r>
    <s v="TX500058"/>
    <x v="10"/>
    <x v="11"/>
    <n v="33.299999999999997"/>
    <n v="299.7"/>
    <x v="2"/>
    <d v="2025-01-11T00:00:00"/>
    <s v="F"/>
    <x v="0"/>
    <x v="2"/>
    <x v="0"/>
    <x v="3"/>
    <n v="8"/>
    <x v="0"/>
    <x v="2"/>
  </r>
  <r>
    <s v="TX500059"/>
    <x v="7"/>
    <x v="1"/>
    <n v="64.2"/>
    <n v="128.4"/>
    <x v="2"/>
    <d v="2025-01-04T00:00:00"/>
    <s v="M"/>
    <x v="0"/>
    <x v="2"/>
    <x v="0"/>
    <x v="3"/>
    <n v="1"/>
    <x v="0"/>
    <x v="1"/>
  </r>
  <r>
    <s v="TX500060"/>
    <x v="9"/>
    <x v="2"/>
    <n v="23.1"/>
    <n v="69.300000000000011"/>
    <x v="2"/>
    <d v="2025-01-06T00:00:00"/>
    <s v="F"/>
    <x v="1"/>
    <x v="2"/>
    <x v="0"/>
    <x v="3"/>
    <n v="3"/>
    <x v="0"/>
    <x v="2"/>
  </r>
  <r>
    <s v="TX500061"/>
    <x v="15"/>
    <x v="1"/>
    <n v="71.099999999999994"/>
    <n v="142.19999999999999"/>
    <x v="2"/>
    <d v="2025-01-05T00:00:00"/>
    <s v="F"/>
    <x v="3"/>
    <x v="1"/>
    <x v="0"/>
    <x v="3"/>
    <n v="2"/>
    <x v="0"/>
    <x v="2"/>
  </r>
  <r>
    <s v="TX500062"/>
    <x v="0"/>
    <x v="1"/>
    <n v="11.5"/>
    <n v="23"/>
    <x v="2"/>
    <d v="2025-01-04T00:00:00"/>
    <s v="F"/>
    <x v="0"/>
    <x v="0"/>
    <x v="0"/>
    <x v="3"/>
    <n v="1"/>
    <x v="0"/>
    <x v="2"/>
  </r>
  <r>
    <s v="TX500063"/>
    <x v="15"/>
    <x v="10"/>
    <n v="69.2"/>
    <n v="1314.8"/>
    <x v="2"/>
    <d v="2025-01-08T00:00:00"/>
    <s v="F"/>
    <x v="0"/>
    <x v="0"/>
    <x v="0"/>
    <x v="3"/>
    <n v="5"/>
    <x v="0"/>
    <x v="2"/>
  </r>
  <r>
    <s v="TX500064"/>
    <x v="0"/>
    <x v="0"/>
    <n v="26.8"/>
    <n v="26.8"/>
    <x v="2"/>
    <d v="2025-01-04T00:00:00"/>
    <s v="M"/>
    <x v="2"/>
    <x v="4"/>
    <x v="0"/>
    <x v="3"/>
    <n v="1"/>
    <x v="0"/>
    <x v="1"/>
  </r>
  <r>
    <s v="TX500065"/>
    <x v="16"/>
    <x v="2"/>
    <n v="31.2"/>
    <n v="93.6"/>
    <x v="2"/>
    <d v="2025-01-06T00:00:00"/>
    <s v="F"/>
    <x v="0"/>
    <x v="0"/>
    <x v="0"/>
    <x v="3"/>
    <n v="3"/>
    <x v="0"/>
    <x v="2"/>
  </r>
  <r>
    <s v="TX500066"/>
    <x v="12"/>
    <x v="1"/>
    <n v="113.2"/>
    <n v="226.4"/>
    <x v="2"/>
    <d v="2025-01-04T00:00:00"/>
    <s v="F"/>
    <x v="4"/>
    <x v="0"/>
    <x v="0"/>
    <x v="3"/>
    <n v="1"/>
    <x v="0"/>
    <x v="2"/>
  </r>
  <r>
    <s v="TX500067"/>
    <x v="10"/>
    <x v="8"/>
    <n v="21"/>
    <n v="168"/>
    <x v="2"/>
    <d v="2025-01-04T00:00:00"/>
    <s v="M"/>
    <x v="0"/>
    <x v="0"/>
    <x v="0"/>
    <x v="6"/>
    <n v="1"/>
    <x v="0"/>
    <x v="1"/>
  </r>
  <r>
    <s v="TX500068"/>
    <x v="1"/>
    <x v="1"/>
    <n v="89.1"/>
    <n v="178.2"/>
    <x v="2"/>
    <d v="2025-01-04T00:00:00"/>
    <s v="F"/>
    <x v="2"/>
    <x v="2"/>
    <x v="0"/>
    <x v="6"/>
    <n v="1"/>
    <x v="0"/>
    <x v="2"/>
  </r>
  <r>
    <s v="TX500069"/>
    <x v="1"/>
    <x v="0"/>
    <n v="97.7"/>
    <n v="97.7"/>
    <x v="2"/>
    <d v="2025-01-05T00:00:00"/>
    <s v="F"/>
    <x v="0"/>
    <x v="1"/>
    <x v="0"/>
    <x v="6"/>
    <n v="2"/>
    <x v="0"/>
    <x v="2"/>
  </r>
  <r>
    <s v="TX500070"/>
    <x v="15"/>
    <x v="12"/>
    <n v="97.7"/>
    <n v="390.8"/>
    <x v="2"/>
    <d v="2025-01-05T00:00:00"/>
    <s v="M"/>
    <x v="3"/>
    <x v="0"/>
    <x v="0"/>
    <x v="6"/>
    <n v="2"/>
    <x v="0"/>
    <x v="1"/>
  </r>
  <r>
    <s v="TX500071"/>
    <x v="17"/>
    <x v="2"/>
    <n v="47.4"/>
    <n v="142.19999999999999"/>
    <x v="2"/>
    <d v="2025-01-06T00:00:00"/>
    <s v="M"/>
    <x v="3"/>
    <x v="2"/>
    <x v="0"/>
    <x v="8"/>
    <n v="3"/>
    <x v="0"/>
    <x v="1"/>
  </r>
  <r>
    <s v="TX500072"/>
    <x v="7"/>
    <x v="0"/>
    <n v="89.6"/>
    <n v="89.6"/>
    <x v="2"/>
    <d v="2025-01-06T00:00:00"/>
    <s v="F"/>
    <x v="0"/>
    <x v="2"/>
    <x v="0"/>
    <x v="8"/>
    <n v="3"/>
    <x v="0"/>
    <x v="2"/>
  </r>
  <r>
    <s v="TX500073"/>
    <x v="10"/>
    <x v="16"/>
    <n v="28.4"/>
    <n v="511.2"/>
    <x v="2"/>
    <d v="2025-01-06T00:00:00"/>
    <s v="F"/>
    <x v="3"/>
    <x v="2"/>
    <x v="0"/>
    <x v="17"/>
    <n v="3"/>
    <x v="0"/>
    <x v="2"/>
  </r>
  <r>
    <s v="TX500074"/>
    <x v="0"/>
    <x v="1"/>
    <n v="17.899999999999999"/>
    <n v="35.799999999999997"/>
    <x v="2"/>
    <d v="2025-01-04T00:00:00"/>
    <s v="F"/>
    <x v="0"/>
    <x v="2"/>
    <x v="0"/>
    <x v="9"/>
    <n v="1"/>
    <x v="0"/>
    <x v="2"/>
  </r>
  <r>
    <s v="TX500075"/>
    <x v="9"/>
    <x v="1"/>
    <n v="48.4"/>
    <n v="96.8"/>
    <x v="2"/>
    <d v="2025-01-06T00:00:00"/>
    <s v="M"/>
    <x v="1"/>
    <x v="0"/>
    <x v="0"/>
    <x v="9"/>
    <n v="3"/>
    <x v="0"/>
    <x v="1"/>
  </r>
  <r>
    <s v="TX500076"/>
    <x v="12"/>
    <x v="12"/>
    <n v="44.4"/>
    <n v="177.6"/>
    <x v="2"/>
    <d v="2025-01-04T00:00:00"/>
    <s v="O"/>
    <x v="1"/>
    <x v="1"/>
    <x v="0"/>
    <x v="11"/>
    <n v="1"/>
    <x v="0"/>
    <x v="3"/>
  </r>
  <r>
    <s v="TX500077"/>
    <x v="2"/>
    <x v="8"/>
    <n v="103.7"/>
    <n v="829.6"/>
    <x v="2"/>
    <d v="2025-01-04T00:00:00"/>
    <s v="F"/>
    <x v="0"/>
    <x v="1"/>
    <x v="0"/>
    <x v="19"/>
    <n v="1"/>
    <x v="0"/>
    <x v="2"/>
  </r>
  <r>
    <s v="TX500078"/>
    <x v="5"/>
    <x v="12"/>
    <n v="58.6"/>
    <n v="234.4"/>
    <x v="2"/>
    <d v="2025-01-05T00:00:00"/>
    <s v="M"/>
    <x v="3"/>
    <x v="0"/>
    <x v="0"/>
    <x v="19"/>
    <n v="2"/>
    <x v="0"/>
    <x v="1"/>
  </r>
  <r>
    <s v="TX500079"/>
    <x v="9"/>
    <x v="12"/>
    <n v="54.8"/>
    <n v="219.2"/>
    <x v="2"/>
    <d v="2025-01-07T00:00:00"/>
    <s v="F"/>
    <x v="2"/>
    <x v="1"/>
    <x v="0"/>
    <x v="13"/>
    <n v="4"/>
    <x v="0"/>
    <x v="2"/>
  </r>
  <r>
    <s v="TX500080"/>
    <x v="12"/>
    <x v="2"/>
    <n v="78.8"/>
    <n v="236.39999999999998"/>
    <x v="2"/>
    <d v="2025-01-09T00:00:00"/>
    <s v="F"/>
    <x v="4"/>
    <x v="1"/>
    <x v="0"/>
    <x v="21"/>
    <n v="6"/>
    <x v="0"/>
    <x v="2"/>
  </r>
  <r>
    <s v="TX500081"/>
    <x v="18"/>
    <x v="9"/>
    <n v="36.799999999999997"/>
    <n v="184"/>
    <x v="2"/>
    <d v="2025-01-06T00:00:00"/>
    <s v="M"/>
    <x v="4"/>
    <x v="1"/>
    <x v="0"/>
    <x v="22"/>
    <n v="3"/>
    <x v="0"/>
    <x v="1"/>
  </r>
  <r>
    <s v="TX500082"/>
    <x v="6"/>
    <x v="13"/>
    <n v="50.6"/>
    <n v="303.60000000000002"/>
    <x v="2"/>
    <d v="2025-01-05T00:00:00"/>
    <s v="F"/>
    <x v="3"/>
    <x v="0"/>
    <x v="0"/>
    <x v="3"/>
    <n v="2"/>
    <x v="0"/>
    <x v="2"/>
  </r>
  <r>
    <s v="TX500083"/>
    <x v="15"/>
    <x v="2"/>
    <n v="36.799999999999997"/>
    <n v="110.39999999999999"/>
    <x v="2"/>
    <d v="2025-01-03T00:00:00"/>
    <s v="M"/>
    <x v="2"/>
    <x v="1"/>
    <x v="0"/>
    <x v="3"/>
    <n v="0"/>
    <x v="0"/>
    <x v="1"/>
  </r>
  <r>
    <s v="TX500084"/>
    <x v="8"/>
    <x v="11"/>
    <n v="41.8"/>
    <n v="376.2"/>
    <x v="3"/>
    <d v="2025-01-10T00:00:00"/>
    <s v="F"/>
    <x v="3"/>
    <x v="0"/>
    <x v="0"/>
    <x v="3"/>
    <n v="6"/>
    <x v="0"/>
    <x v="2"/>
  </r>
  <r>
    <s v="TX500085"/>
    <x v="18"/>
    <x v="0"/>
    <n v="77.3"/>
    <n v="77.3"/>
    <x v="3"/>
    <d v="2025-01-05T00:00:00"/>
    <s v="M"/>
    <x v="4"/>
    <x v="4"/>
    <x v="0"/>
    <x v="3"/>
    <n v="1"/>
    <x v="0"/>
    <x v="1"/>
  </r>
  <r>
    <s v="TX500086"/>
    <x v="8"/>
    <x v="12"/>
    <n v="19.8"/>
    <n v="79.2"/>
    <x v="3"/>
    <d v="2025-01-10T00:00:00"/>
    <s v="M"/>
    <x v="1"/>
    <x v="2"/>
    <x v="0"/>
    <x v="3"/>
    <n v="6"/>
    <x v="0"/>
    <x v="1"/>
  </r>
  <r>
    <s v="TX500087"/>
    <x v="13"/>
    <x v="12"/>
    <n v="15.5"/>
    <n v="62"/>
    <x v="3"/>
    <d v="2025-01-05T00:00:00"/>
    <s v="F"/>
    <x v="1"/>
    <x v="2"/>
    <x v="0"/>
    <x v="3"/>
    <n v="1"/>
    <x v="0"/>
    <x v="2"/>
  </r>
  <r>
    <s v="TX500088"/>
    <x v="12"/>
    <x v="0"/>
    <n v="46.8"/>
    <n v="46.8"/>
    <x v="3"/>
    <d v="2025-01-08T00:00:00"/>
    <s v="M"/>
    <x v="0"/>
    <x v="2"/>
    <x v="0"/>
    <x v="3"/>
    <n v="4"/>
    <x v="0"/>
    <x v="1"/>
  </r>
  <r>
    <s v="TX500089"/>
    <x v="9"/>
    <x v="11"/>
    <n v="28.6"/>
    <n v="257.40000000000003"/>
    <x v="3"/>
    <d v="2025-01-08T00:00:00"/>
    <s v="M"/>
    <x v="0"/>
    <x v="2"/>
    <x v="0"/>
    <x v="3"/>
    <n v="4"/>
    <x v="0"/>
    <x v="1"/>
  </r>
  <r>
    <s v="TX500090"/>
    <x v="2"/>
    <x v="0"/>
    <n v="97.7"/>
    <n v="97.7"/>
    <x v="3"/>
    <d v="2025-01-07T00:00:00"/>
    <s v="F"/>
    <x v="1"/>
    <x v="0"/>
    <x v="0"/>
    <x v="3"/>
    <n v="3"/>
    <x v="0"/>
    <x v="2"/>
  </r>
  <r>
    <s v="TX500091"/>
    <x v="9"/>
    <x v="9"/>
    <n v="54.7"/>
    <n v="273.5"/>
    <x v="3"/>
    <d v="2025-01-07T00:00:00"/>
    <s v=""/>
    <x v="0"/>
    <x v="2"/>
    <x v="0"/>
    <x v="23"/>
    <n v="3"/>
    <x v="0"/>
    <x v="0"/>
  </r>
  <r>
    <s v="TX500092"/>
    <x v="2"/>
    <x v="13"/>
    <n v="130.5"/>
    <n v="783"/>
    <x v="3"/>
    <d v="2025-01-06T00:00:00"/>
    <s v="F"/>
    <x v="0"/>
    <x v="1"/>
    <x v="0"/>
    <x v="23"/>
    <n v="2"/>
    <x v="0"/>
    <x v="2"/>
  </r>
  <r>
    <s v="TX500093"/>
    <x v="11"/>
    <x v="1"/>
    <n v="50.4"/>
    <n v="100.8"/>
    <x v="3"/>
    <d v="2025-01-06T00:00:00"/>
    <s v="M"/>
    <x v="2"/>
    <x v="2"/>
    <x v="0"/>
    <x v="6"/>
    <n v="2"/>
    <x v="0"/>
    <x v="1"/>
  </r>
  <r>
    <s v="TX500094"/>
    <x v="6"/>
    <x v="15"/>
    <n v="61.5"/>
    <n v="799.5"/>
    <x v="3"/>
    <d v="2025-01-05T00:00:00"/>
    <s v=""/>
    <x v="3"/>
    <x v="1"/>
    <x v="0"/>
    <x v="11"/>
    <n v="1"/>
    <x v="0"/>
    <x v="0"/>
  </r>
  <r>
    <s v="TX500095"/>
    <x v="9"/>
    <x v="12"/>
    <n v="30.1"/>
    <n v="120.4"/>
    <x v="3"/>
    <d v="2025-01-05T00:00:00"/>
    <s v="F"/>
    <x v="0"/>
    <x v="2"/>
    <x v="0"/>
    <x v="21"/>
    <n v="1"/>
    <x v="0"/>
    <x v="2"/>
  </r>
  <r>
    <s v="TX500096"/>
    <x v="2"/>
    <x v="9"/>
    <n v="74.8"/>
    <n v="374"/>
    <x v="3"/>
    <d v="2025-01-05T00:00:00"/>
    <s v="F"/>
    <x v="1"/>
    <x v="0"/>
    <x v="0"/>
    <x v="1"/>
    <n v="1"/>
    <x v="0"/>
    <x v="2"/>
  </r>
  <r>
    <s v="TX500097"/>
    <x v="16"/>
    <x v="2"/>
    <n v="64.900000000000006"/>
    <n v="194.70000000000002"/>
    <x v="3"/>
    <d v="2025-01-11T00:00:00"/>
    <s v="M"/>
    <x v="0"/>
    <x v="0"/>
    <x v="0"/>
    <x v="2"/>
    <n v="7"/>
    <x v="0"/>
    <x v="1"/>
  </r>
  <r>
    <s v="TX500098"/>
    <x v="9"/>
    <x v="1"/>
    <n v="50.5"/>
    <n v="101"/>
    <x v="3"/>
    <d v="2025-01-06T00:00:00"/>
    <s v="M"/>
    <x v="1"/>
    <x v="0"/>
    <x v="0"/>
    <x v="22"/>
    <n v="2"/>
    <x v="0"/>
    <x v="1"/>
  </r>
  <r>
    <s v="TX500099"/>
    <x v="11"/>
    <x v="3"/>
    <n v="63"/>
    <n v="441"/>
    <x v="3"/>
    <d v="2025-01-07T00:00:00"/>
    <s v="M"/>
    <x v="3"/>
    <x v="2"/>
    <x v="0"/>
    <x v="3"/>
    <n v="3"/>
    <x v="0"/>
    <x v="1"/>
  </r>
  <r>
    <s v="TX500100"/>
    <x v="2"/>
    <x v="2"/>
    <n v="93.6"/>
    <n v="280.79999999999995"/>
    <x v="3"/>
    <d v="2025-01-17T00:00:00"/>
    <s v="F"/>
    <x v="0"/>
    <x v="2"/>
    <x v="0"/>
    <x v="3"/>
    <n v="13"/>
    <x v="0"/>
    <x v="2"/>
  </r>
  <r>
    <s v="TX500101"/>
    <x v="5"/>
    <x v="17"/>
    <n v="41.4"/>
    <n v="1242"/>
    <x v="3"/>
    <d v="2025-01-08T00:00:00"/>
    <s v="M"/>
    <x v="2"/>
    <x v="2"/>
    <x v="0"/>
    <x v="3"/>
    <n v="4"/>
    <x v="0"/>
    <x v="1"/>
  </r>
  <r>
    <s v="TX500102"/>
    <x v="2"/>
    <x v="1"/>
    <n v="160"/>
    <n v="320"/>
    <x v="4"/>
    <d v="2025-01-06T00:00:00"/>
    <s v="M"/>
    <x v="2"/>
    <x v="2"/>
    <x v="0"/>
    <x v="5"/>
    <n v="1"/>
    <x v="1"/>
    <x v="1"/>
  </r>
  <r>
    <s v="TX500103"/>
    <x v="19"/>
    <x v="5"/>
    <n v="10.5"/>
    <n v="115.5"/>
    <x v="4"/>
    <d v="2025-01-08T00:00:00"/>
    <s v="F"/>
    <x v="4"/>
    <x v="0"/>
    <x v="0"/>
    <x v="8"/>
    <n v="3"/>
    <x v="1"/>
    <x v="2"/>
  </r>
  <r>
    <s v="TX500104"/>
    <x v="10"/>
    <x v="1"/>
    <n v="53"/>
    <n v="106"/>
    <x v="4"/>
    <d v="2025-01-05T00:00:00"/>
    <s v="M"/>
    <x v="2"/>
    <x v="4"/>
    <x v="0"/>
    <x v="17"/>
    <n v="0"/>
    <x v="1"/>
    <x v="1"/>
  </r>
  <r>
    <s v="TX500105"/>
    <x v="8"/>
    <x v="2"/>
    <n v="18.5"/>
    <n v="55.5"/>
    <x v="4"/>
    <d v="2025-01-10T00:00:00"/>
    <s v="F"/>
    <x v="1"/>
    <x v="2"/>
    <x v="0"/>
    <x v="11"/>
    <n v="5"/>
    <x v="1"/>
    <x v="2"/>
  </r>
  <r>
    <s v="TX500106"/>
    <x v="16"/>
    <x v="2"/>
    <n v="84.5"/>
    <n v="253.5"/>
    <x v="4"/>
    <d v="2025-01-07T00:00:00"/>
    <s v="F"/>
    <x v="4"/>
    <x v="1"/>
    <x v="0"/>
    <x v="13"/>
    <n v="2"/>
    <x v="1"/>
    <x v="2"/>
  </r>
  <r>
    <s v="TX500107"/>
    <x v="15"/>
    <x v="3"/>
    <n v="31.2"/>
    <n v="218.4"/>
    <x v="4"/>
    <d v="2025-01-05T00:00:00"/>
    <s v="F"/>
    <x v="2"/>
    <x v="2"/>
    <x v="0"/>
    <x v="3"/>
    <n v="0"/>
    <x v="1"/>
    <x v="2"/>
  </r>
  <r>
    <s v="TX500108"/>
    <x v="8"/>
    <x v="16"/>
    <n v="32.6"/>
    <n v="586.80000000000007"/>
    <x v="4"/>
    <d v="2025-01-06T00:00:00"/>
    <s v="M"/>
    <x v="1"/>
    <x v="1"/>
    <x v="0"/>
    <x v="3"/>
    <n v="1"/>
    <x v="1"/>
    <x v="1"/>
  </r>
  <r>
    <s v="TX500109"/>
    <x v="10"/>
    <x v="12"/>
    <n v="45.4"/>
    <n v="181.6"/>
    <x v="4"/>
    <d v="2025-01-07T00:00:00"/>
    <s v="M"/>
    <x v="1"/>
    <x v="0"/>
    <x v="0"/>
    <x v="3"/>
    <n v="2"/>
    <x v="1"/>
    <x v="1"/>
  </r>
  <r>
    <s v="TX500110"/>
    <x v="2"/>
    <x v="4"/>
    <n v="120"/>
    <n v="1440"/>
    <x v="4"/>
    <d v="2025-01-06T00:00:00"/>
    <s v="F"/>
    <x v="2"/>
    <x v="4"/>
    <x v="0"/>
    <x v="3"/>
    <n v="1"/>
    <x v="1"/>
    <x v="2"/>
  </r>
  <r>
    <s v="TX500111"/>
    <x v="0"/>
    <x v="12"/>
    <n v="18.899999999999999"/>
    <n v="75.599999999999994"/>
    <x v="4"/>
    <d v="2025-01-07T00:00:00"/>
    <s v="M"/>
    <x v="0"/>
    <x v="2"/>
    <x v="0"/>
    <x v="3"/>
    <n v="2"/>
    <x v="1"/>
    <x v="1"/>
  </r>
  <r>
    <s v="TX500112"/>
    <x v="4"/>
    <x v="0"/>
    <n v="32"/>
    <n v="32"/>
    <x v="4"/>
    <d v="2025-01-07T00:00:00"/>
    <s v="F"/>
    <x v="4"/>
    <x v="0"/>
    <x v="0"/>
    <x v="3"/>
    <n v="2"/>
    <x v="1"/>
    <x v="2"/>
  </r>
  <r>
    <s v="TX500113"/>
    <x v="7"/>
    <x v="1"/>
    <n v="37.299999999999997"/>
    <n v="74.599999999999994"/>
    <x v="4"/>
    <d v="2025-01-06T00:00:00"/>
    <s v="M"/>
    <x v="2"/>
    <x v="0"/>
    <x v="0"/>
    <x v="3"/>
    <n v="1"/>
    <x v="1"/>
    <x v="1"/>
  </r>
  <r>
    <s v="TX500114"/>
    <x v="18"/>
    <x v="0"/>
    <n v="119.8"/>
    <n v="119.8"/>
    <x v="4"/>
    <d v="2025-01-06T00:00:00"/>
    <s v="M"/>
    <x v="1"/>
    <x v="1"/>
    <x v="0"/>
    <x v="3"/>
    <n v="1"/>
    <x v="1"/>
    <x v="1"/>
  </r>
  <r>
    <s v="TX500115"/>
    <x v="10"/>
    <x v="1"/>
    <n v="26.4"/>
    <n v="52.8"/>
    <x v="4"/>
    <d v="2025-01-08T00:00:00"/>
    <s v="M"/>
    <x v="2"/>
    <x v="0"/>
    <x v="0"/>
    <x v="3"/>
    <n v="3"/>
    <x v="1"/>
    <x v="1"/>
  </r>
  <r>
    <s v="TX500116"/>
    <x v="6"/>
    <x v="13"/>
    <n v="76.5"/>
    <n v="459"/>
    <x v="4"/>
    <d v="2025-01-06T00:00:00"/>
    <s v="F"/>
    <x v="1"/>
    <x v="1"/>
    <x v="0"/>
    <x v="3"/>
    <n v="1"/>
    <x v="1"/>
    <x v="2"/>
  </r>
  <r>
    <s v="TX500117"/>
    <x v="4"/>
    <x v="7"/>
    <n v="45.7"/>
    <n v="457"/>
    <x v="4"/>
    <d v="2025-01-06T00:00:00"/>
    <s v="F"/>
    <x v="2"/>
    <x v="0"/>
    <x v="0"/>
    <x v="24"/>
    <n v="1"/>
    <x v="1"/>
    <x v="2"/>
  </r>
  <r>
    <s v="TX500118"/>
    <x v="1"/>
    <x v="4"/>
    <n v="92.6"/>
    <n v="1111.1999999999998"/>
    <x v="4"/>
    <d v="2025-01-07T00:00:00"/>
    <s v="F"/>
    <x v="2"/>
    <x v="0"/>
    <x v="0"/>
    <x v="25"/>
    <n v="2"/>
    <x v="1"/>
    <x v="2"/>
  </r>
  <r>
    <s v="TX500119"/>
    <x v="6"/>
    <x v="13"/>
    <n v="60.1"/>
    <n v="360.6"/>
    <x v="4"/>
    <d v="2025-01-06T00:00:00"/>
    <s v="M"/>
    <x v="1"/>
    <x v="0"/>
    <x v="0"/>
    <x v="23"/>
    <n v="1"/>
    <x v="1"/>
    <x v="1"/>
  </r>
  <r>
    <s v="TX500120"/>
    <x v="1"/>
    <x v="2"/>
    <n v="73"/>
    <n v="219"/>
    <x v="4"/>
    <d v="2025-01-06T00:00:00"/>
    <s v="F"/>
    <x v="3"/>
    <x v="1"/>
    <x v="0"/>
    <x v="6"/>
    <n v="1"/>
    <x v="1"/>
    <x v="2"/>
  </r>
  <r>
    <s v="TX500121"/>
    <x v="6"/>
    <x v="2"/>
    <n v="44.3"/>
    <n v="132.89999999999998"/>
    <x v="4"/>
    <d v="2025-01-09T00:00:00"/>
    <s v=""/>
    <x v="2"/>
    <x v="2"/>
    <x v="0"/>
    <x v="6"/>
    <n v="4"/>
    <x v="1"/>
    <x v="0"/>
  </r>
  <r>
    <s v="TX500122"/>
    <x v="6"/>
    <x v="2"/>
    <n v="63.3"/>
    <n v="189.89999999999998"/>
    <x v="4"/>
    <d v="2025-01-06T00:00:00"/>
    <s v="M"/>
    <x v="2"/>
    <x v="0"/>
    <x v="0"/>
    <x v="6"/>
    <n v="1"/>
    <x v="1"/>
    <x v="1"/>
  </r>
  <r>
    <s v="TX500123"/>
    <x v="12"/>
    <x v="0"/>
    <n v="66.8"/>
    <n v="66.8"/>
    <x v="4"/>
    <d v="2025-01-06T00:00:00"/>
    <s v="F"/>
    <x v="1"/>
    <x v="0"/>
    <x v="0"/>
    <x v="6"/>
    <n v="1"/>
    <x v="1"/>
    <x v="2"/>
  </r>
  <r>
    <s v="TX500124"/>
    <x v="2"/>
    <x v="1"/>
    <n v="59.7"/>
    <n v="119.4"/>
    <x v="4"/>
    <d v="2025-01-06T00:00:00"/>
    <s v="F"/>
    <x v="0"/>
    <x v="0"/>
    <x v="0"/>
    <x v="7"/>
    <n v="1"/>
    <x v="1"/>
    <x v="2"/>
  </r>
  <r>
    <s v="TX500125"/>
    <x v="1"/>
    <x v="13"/>
    <n v="92"/>
    <n v="552"/>
    <x v="4"/>
    <d v="2025-01-07T00:00:00"/>
    <s v="M"/>
    <x v="0"/>
    <x v="4"/>
    <x v="0"/>
    <x v="7"/>
    <n v="2"/>
    <x v="1"/>
    <x v="1"/>
  </r>
  <r>
    <s v="TX500126"/>
    <x v="7"/>
    <x v="1"/>
    <n v="87.6"/>
    <n v="175.2"/>
    <x v="4"/>
    <d v="2025-01-07T00:00:00"/>
    <s v="M"/>
    <x v="1"/>
    <x v="1"/>
    <x v="0"/>
    <x v="8"/>
    <n v="2"/>
    <x v="1"/>
    <x v="1"/>
  </r>
  <r>
    <s v="TX500127"/>
    <x v="6"/>
    <x v="2"/>
    <n v="84.5"/>
    <n v="253.5"/>
    <x v="4"/>
    <d v="2025-01-06T00:00:00"/>
    <s v="F"/>
    <x v="1"/>
    <x v="1"/>
    <x v="0"/>
    <x v="8"/>
    <n v="1"/>
    <x v="1"/>
    <x v="2"/>
  </r>
  <r>
    <s v="TX500128"/>
    <x v="1"/>
    <x v="1"/>
    <n v="116.3"/>
    <n v="232.6"/>
    <x v="5"/>
    <d v="2025-01-08T00:00:00"/>
    <s v="M"/>
    <x v="2"/>
    <x v="2"/>
    <x v="0"/>
    <x v="8"/>
    <n v="2"/>
    <x v="1"/>
    <x v="1"/>
  </r>
  <r>
    <s v="TX500129"/>
    <x v="6"/>
    <x v="9"/>
    <n v="52.7"/>
    <n v="263.5"/>
    <x v="5"/>
    <d v="2025-01-10T00:00:00"/>
    <s v="M"/>
    <x v="0"/>
    <x v="0"/>
    <x v="0"/>
    <x v="8"/>
    <n v="4"/>
    <x v="1"/>
    <x v="1"/>
  </r>
  <r>
    <s v="TX500130"/>
    <x v="16"/>
    <x v="2"/>
    <n v="34.200000000000003"/>
    <n v="102.60000000000001"/>
    <x v="5"/>
    <d v="2025-01-07T00:00:00"/>
    <s v="M"/>
    <x v="0"/>
    <x v="2"/>
    <x v="0"/>
    <x v="26"/>
    <n v="1"/>
    <x v="1"/>
    <x v="1"/>
  </r>
  <r>
    <s v="TX500131"/>
    <x v="9"/>
    <x v="0"/>
    <n v="23.3"/>
    <n v="23.3"/>
    <x v="5"/>
    <d v="2025-01-15T00:00:00"/>
    <s v="O"/>
    <x v="2"/>
    <x v="2"/>
    <x v="0"/>
    <x v="9"/>
    <n v="9"/>
    <x v="1"/>
    <x v="3"/>
  </r>
  <r>
    <s v="TX500132"/>
    <x v="0"/>
    <x v="18"/>
    <n v="25.9"/>
    <n v="673.4"/>
    <x v="5"/>
    <d v="2025-01-09T00:00:00"/>
    <s v="F"/>
    <x v="4"/>
    <x v="1"/>
    <x v="0"/>
    <x v="9"/>
    <n v="3"/>
    <x v="1"/>
    <x v="2"/>
  </r>
  <r>
    <s v="TX500133"/>
    <x v="6"/>
    <x v="19"/>
    <n v="54.9"/>
    <n v="1592.1"/>
    <x v="5"/>
    <d v="2025-01-07T00:00:00"/>
    <s v="M"/>
    <x v="1"/>
    <x v="2"/>
    <x v="0"/>
    <x v="9"/>
    <n v="1"/>
    <x v="1"/>
    <x v="1"/>
  </r>
  <r>
    <s v="TX500134"/>
    <x v="5"/>
    <x v="2"/>
    <n v="75.8"/>
    <n v="227.39999999999998"/>
    <x v="5"/>
    <d v="2025-01-11T00:00:00"/>
    <s v="O"/>
    <x v="1"/>
    <x v="0"/>
    <x v="0"/>
    <x v="18"/>
    <n v="5"/>
    <x v="1"/>
    <x v="3"/>
  </r>
  <r>
    <s v="TX500135"/>
    <x v="1"/>
    <x v="11"/>
    <n v="44.9"/>
    <n v="404.09999999999997"/>
    <x v="5"/>
    <d v="2025-01-09T00:00:00"/>
    <s v="F"/>
    <x v="2"/>
    <x v="2"/>
    <x v="0"/>
    <x v="2"/>
    <n v="3"/>
    <x v="1"/>
    <x v="2"/>
  </r>
  <r>
    <s v="TX500136"/>
    <x v="11"/>
    <x v="1"/>
    <n v="48.8"/>
    <n v="97.6"/>
    <x v="5"/>
    <d v="2025-01-08T00:00:00"/>
    <s v="F"/>
    <x v="3"/>
    <x v="0"/>
    <x v="0"/>
    <x v="27"/>
    <n v="2"/>
    <x v="1"/>
    <x v="2"/>
  </r>
  <r>
    <s v="TX500137"/>
    <x v="15"/>
    <x v="0"/>
    <n v="20.3"/>
    <n v="20.3"/>
    <x v="5"/>
    <d v="2025-01-07T00:00:00"/>
    <s v="F"/>
    <x v="0"/>
    <x v="2"/>
    <x v="0"/>
    <x v="22"/>
    <n v="1"/>
    <x v="1"/>
    <x v="2"/>
  </r>
  <r>
    <s v="TX500138"/>
    <x v="5"/>
    <x v="3"/>
    <n v="36.4"/>
    <n v="254.79999999999998"/>
    <x v="5"/>
    <d v="2025-01-09T00:00:00"/>
    <s v="F"/>
    <x v="0"/>
    <x v="1"/>
    <x v="0"/>
    <x v="3"/>
    <n v="3"/>
    <x v="1"/>
    <x v="2"/>
  </r>
  <r>
    <s v="TX500139"/>
    <x v="0"/>
    <x v="0"/>
    <n v="19"/>
    <n v="19"/>
    <x v="5"/>
    <d v="2025-01-11T00:00:00"/>
    <s v="F"/>
    <x v="1"/>
    <x v="2"/>
    <x v="0"/>
    <x v="3"/>
    <n v="5"/>
    <x v="1"/>
    <x v="2"/>
  </r>
  <r>
    <s v="TX500140"/>
    <x v="8"/>
    <x v="0"/>
    <n v="17.8"/>
    <n v="17.8"/>
    <x v="5"/>
    <d v="2025-01-06T00:00:00"/>
    <s v="M"/>
    <x v="0"/>
    <x v="0"/>
    <x v="0"/>
    <x v="3"/>
    <n v="0"/>
    <x v="1"/>
    <x v="1"/>
  </r>
  <r>
    <s v="TX500141"/>
    <x v="2"/>
    <x v="13"/>
    <n v="139.6"/>
    <n v="837.59999999999991"/>
    <x v="5"/>
    <d v="2025-01-09T00:00:00"/>
    <s v="M"/>
    <x v="0"/>
    <x v="0"/>
    <x v="0"/>
    <x v="3"/>
    <n v="3"/>
    <x v="1"/>
    <x v="1"/>
  </r>
  <r>
    <s v="TX500142"/>
    <x v="9"/>
    <x v="0"/>
    <n v="31.7"/>
    <n v="31.7"/>
    <x v="5"/>
    <d v="2025-01-06T00:00:00"/>
    <s v=""/>
    <x v="0"/>
    <x v="0"/>
    <x v="0"/>
    <x v="3"/>
    <n v="0"/>
    <x v="1"/>
    <x v="0"/>
  </r>
  <r>
    <s v="TX500143"/>
    <x v="8"/>
    <x v="8"/>
    <n v="26.3"/>
    <n v="210.4"/>
    <x v="5"/>
    <d v="2025-01-09T00:00:00"/>
    <s v="F"/>
    <x v="4"/>
    <x v="4"/>
    <x v="0"/>
    <x v="3"/>
    <n v="3"/>
    <x v="1"/>
    <x v="2"/>
  </r>
  <r>
    <s v="TX500144"/>
    <x v="4"/>
    <x v="1"/>
    <n v="47.8"/>
    <n v="95.6"/>
    <x v="5"/>
    <d v="2025-01-07T00:00:00"/>
    <s v=""/>
    <x v="0"/>
    <x v="0"/>
    <x v="0"/>
    <x v="3"/>
    <n v="1"/>
    <x v="1"/>
    <x v="0"/>
  </r>
  <r>
    <s v="TX500145"/>
    <x v="9"/>
    <x v="2"/>
    <n v="69.400000000000006"/>
    <n v="208.20000000000002"/>
    <x v="5"/>
    <d v="2025-01-10T00:00:00"/>
    <s v="F"/>
    <x v="0"/>
    <x v="0"/>
    <x v="0"/>
    <x v="3"/>
    <n v="4"/>
    <x v="1"/>
    <x v="2"/>
  </r>
  <r>
    <s v="TX500146"/>
    <x v="18"/>
    <x v="4"/>
    <n v="25.8"/>
    <n v="309.60000000000002"/>
    <x v="5"/>
    <d v="2025-01-07T00:00:00"/>
    <s v="M"/>
    <x v="4"/>
    <x v="4"/>
    <x v="0"/>
    <x v="3"/>
    <n v="1"/>
    <x v="1"/>
    <x v="1"/>
  </r>
  <r>
    <s v="TX500147"/>
    <x v="0"/>
    <x v="12"/>
    <n v="26.4"/>
    <n v="105.6"/>
    <x v="5"/>
    <d v="2025-01-07T00:00:00"/>
    <s v="M"/>
    <x v="1"/>
    <x v="2"/>
    <x v="0"/>
    <x v="3"/>
    <n v="1"/>
    <x v="1"/>
    <x v="1"/>
  </r>
  <r>
    <s v="TX500148"/>
    <x v="8"/>
    <x v="12"/>
    <n v="15.7"/>
    <n v="62.8"/>
    <x v="5"/>
    <d v="2025-01-07T00:00:00"/>
    <s v="M"/>
    <x v="2"/>
    <x v="0"/>
    <x v="0"/>
    <x v="3"/>
    <n v="1"/>
    <x v="1"/>
    <x v="1"/>
  </r>
  <r>
    <s v="TX500149"/>
    <x v="8"/>
    <x v="0"/>
    <n v="39.700000000000003"/>
    <n v="39.700000000000003"/>
    <x v="5"/>
    <d v="2025-01-10T00:00:00"/>
    <s v="M"/>
    <x v="0"/>
    <x v="0"/>
    <x v="0"/>
    <x v="3"/>
    <n v="4"/>
    <x v="1"/>
    <x v="1"/>
  </r>
  <r>
    <s v="TX500150"/>
    <x v="10"/>
    <x v="12"/>
    <n v="31.1"/>
    <n v="124.4"/>
    <x v="5"/>
    <d v="2025-01-08T00:00:00"/>
    <s v="F"/>
    <x v="2"/>
    <x v="1"/>
    <x v="0"/>
    <x v="3"/>
    <n v="2"/>
    <x v="1"/>
    <x v="2"/>
  </r>
  <r>
    <s v="TX500151"/>
    <x v="13"/>
    <x v="20"/>
    <n v="23.4"/>
    <n v="351"/>
    <x v="5"/>
    <d v="2025-01-15T00:00:00"/>
    <s v="M"/>
    <x v="0"/>
    <x v="0"/>
    <x v="0"/>
    <x v="3"/>
    <n v="9"/>
    <x v="1"/>
    <x v="1"/>
  </r>
  <r>
    <s v="TX500152"/>
    <x v="1"/>
    <x v="12"/>
    <n v="57.1"/>
    <n v="228.4"/>
    <x v="6"/>
    <d v="2025-01-08T00:00:00"/>
    <s v="M"/>
    <x v="2"/>
    <x v="0"/>
    <x v="0"/>
    <x v="25"/>
    <n v="1"/>
    <x v="1"/>
    <x v="1"/>
  </r>
  <r>
    <s v="TX500153"/>
    <x v="2"/>
    <x v="9"/>
    <n v="89.9"/>
    <n v="449.5"/>
    <x v="6"/>
    <d v="2025-01-07T00:00:00"/>
    <s v="F"/>
    <x v="0"/>
    <x v="3"/>
    <x v="0"/>
    <x v="23"/>
    <n v="0"/>
    <x v="1"/>
    <x v="2"/>
  </r>
  <r>
    <s v="TX500154"/>
    <x v="10"/>
    <x v="3"/>
    <n v="48.1"/>
    <n v="336.7"/>
    <x v="6"/>
    <d v="2025-01-09T00:00:00"/>
    <s v="F"/>
    <x v="1"/>
    <x v="2"/>
    <x v="0"/>
    <x v="6"/>
    <n v="2"/>
    <x v="1"/>
    <x v="2"/>
  </r>
  <r>
    <s v="TX500155"/>
    <x v="8"/>
    <x v="1"/>
    <n v="29.3"/>
    <n v="58.6"/>
    <x v="6"/>
    <d v="2025-01-07T00:00:00"/>
    <s v="F"/>
    <x v="1"/>
    <x v="1"/>
    <x v="0"/>
    <x v="6"/>
    <n v="0"/>
    <x v="1"/>
    <x v="2"/>
  </r>
  <r>
    <s v="TX500156"/>
    <x v="8"/>
    <x v="12"/>
    <n v="28.8"/>
    <n v="115.2"/>
    <x v="6"/>
    <d v="2025-01-08T00:00:00"/>
    <s v="F"/>
    <x v="0"/>
    <x v="4"/>
    <x v="0"/>
    <x v="6"/>
    <n v="1"/>
    <x v="1"/>
    <x v="2"/>
  </r>
  <r>
    <s v="TX500157"/>
    <x v="10"/>
    <x v="9"/>
    <n v="40.5"/>
    <n v="202.5"/>
    <x v="6"/>
    <d v="2025-01-11T00:00:00"/>
    <s v="F"/>
    <x v="3"/>
    <x v="0"/>
    <x v="0"/>
    <x v="6"/>
    <n v="4"/>
    <x v="1"/>
    <x v="2"/>
  </r>
  <r>
    <s v="TX500158"/>
    <x v="18"/>
    <x v="21"/>
    <n v="65.099999999999994"/>
    <n v="911.39999999999986"/>
    <x v="6"/>
    <d v="2025-01-08T00:00:00"/>
    <s v="F"/>
    <x v="4"/>
    <x v="0"/>
    <x v="0"/>
    <x v="7"/>
    <n v="1"/>
    <x v="1"/>
    <x v="2"/>
  </r>
  <r>
    <s v="TX500159"/>
    <x v="8"/>
    <x v="12"/>
    <n v="40.299999999999997"/>
    <n v="161.19999999999999"/>
    <x v="6"/>
    <d v="2025-01-12T00:00:00"/>
    <s v="F"/>
    <x v="2"/>
    <x v="0"/>
    <x v="0"/>
    <x v="7"/>
    <n v="5"/>
    <x v="1"/>
    <x v="2"/>
  </r>
  <r>
    <s v="TX500160"/>
    <x v="6"/>
    <x v="9"/>
    <n v="51.8"/>
    <n v="259"/>
    <x v="6"/>
    <d v="2025-01-08T00:00:00"/>
    <s v="M"/>
    <x v="2"/>
    <x v="2"/>
    <x v="0"/>
    <x v="8"/>
    <n v="1"/>
    <x v="1"/>
    <x v="1"/>
  </r>
  <r>
    <s v="TX500161"/>
    <x v="6"/>
    <x v="2"/>
    <n v="61.3"/>
    <n v="183.89999999999998"/>
    <x v="6"/>
    <d v="2025-01-08T00:00:00"/>
    <s v="F"/>
    <x v="3"/>
    <x v="0"/>
    <x v="0"/>
    <x v="8"/>
    <n v="1"/>
    <x v="1"/>
    <x v="2"/>
  </r>
  <r>
    <s v="TX500162"/>
    <x v="2"/>
    <x v="12"/>
    <n v="122.5"/>
    <n v="490"/>
    <x v="6"/>
    <d v="2025-01-08T00:00:00"/>
    <s v="M"/>
    <x v="0"/>
    <x v="0"/>
    <x v="0"/>
    <x v="8"/>
    <n v="1"/>
    <x v="1"/>
    <x v="1"/>
  </r>
  <r>
    <s v="TX500163"/>
    <x v="0"/>
    <x v="11"/>
    <n v="12.5"/>
    <n v="112.5"/>
    <x v="6"/>
    <d v="2025-01-08T00:00:00"/>
    <s v=""/>
    <x v="1"/>
    <x v="2"/>
    <x v="0"/>
    <x v="8"/>
    <n v="1"/>
    <x v="1"/>
    <x v="0"/>
  </r>
  <r>
    <s v="TX500164"/>
    <x v="15"/>
    <x v="8"/>
    <n v="37.5"/>
    <n v="300"/>
    <x v="6"/>
    <d v="2025-01-08T00:00:00"/>
    <s v="F"/>
    <x v="0"/>
    <x v="0"/>
    <x v="0"/>
    <x v="9"/>
    <n v="1"/>
    <x v="1"/>
    <x v="2"/>
  </r>
  <r>
    <s v="TX500165"/>
    <x v="6"/>
    <x v="2"/>
    <n v="40"/>
    <n v="120"/>
    <x v="6"/>
    <d v="2025-01-10T00:00:00"/>
    <s v="M"/>
    <x v="0"/>
    <x v="4"/>
    <x v="0"/>
    <x v="11"/>
    <n v="3"/>
    <x v="1"/>
    <x v="1"/>
  </r>
  <r>
    <s v="TX500166"/>
    <x v="17"/>
    <x v="8"/>
    <n v="38.5"/>
    <n v="308"/>
    <x v="6"/>
    <d v="2025-01-12T00:00:00"/>
    <s v="F"/>
    <x v="2"/>
    <x v="1"/>
    <x v="0"/>
    <x v="11"/>
    <n v="5"/>
    <x v="1"/>
    <x v="2"/>
  </r>
  <r>
    <s v="TX500167"/>
    <x v="2"/>
    <x v="1"/>
    <n v="86.4"/>
    <n v="172.8"/>
    <x v="6"/>
    <d v="2025-01-09T00:00:00"/>
    <s v="F"/>
    <x v="0"/>
    <x v="0"/>
    <x v="0"/>
    <x v="18"/>
    <n v="2"/>
    <x v="1"/>
    <x v="2"/>
  </r>
  <r>
    <s v="TX500168"/>
    <x v="10"/>
    <x v="0"/>
    <n v="50.7"/>
    <n v="50.7"/>
    <x v="6"/>
    <d v="2025-01-11T00:00:00"/>
    <s v="F"/>
    <x v="1"/>
    <x v="0"/>
    <x v="0"/>
    <x v="18"/>
    <n v="4"/>
    <x v="1"/>
    <x v="2"/>
  </r>
  <r>
    <s v="TX500169"/>
    <x v="10"/>
    <x v="1"/>
    <n v="61"/>
    <n v="122"/>
    <x v="6"/>
    <d v="2025-01-18T00:00:00"/>
    <s v="F"/>
    <x v="4"/>
    <x v="1"/>
    <x v="0"/>
    <x v="18"/>
    <n v="11"/>
    <x v="1"/>
    <x v="2"/>
  </r>
  <r>
    <s v="TX500170"/>
    <x v="4"/>
    <x v="1"/>
    <n v="19.899999999999999"/>
    <n v="39.799999999999997"/>
    <x v="6"/>
    <d v="2025-01-10T00:00:00"/>
    <s v="F"/>
    <x v="1"/>
    <x v="0"/>
    <x v="0"/>
    <x v="28"/>
    <n v="3"/>
    <x v="1"/>
    <x v="2"/>
  </r>
  <r>
    <s v="TX500171"/>
    <x v="5"/>
    <x v="0"/>
    <n v="78.3"/>
    <n v="78.3"/>
    <x v="6"/>
    <d v="2025-01-07T00:00:00"/>
    <s v="F"/>
    <x v="0"/>
    <x v="2"/>
    <x v="0"/>
    <x v="1"/>
    <n v="0"/>
    <x v="1"/>
    <x v="2"/>
  </r>
  <r>
    <s v="TX500172"/>
    <x v="0"/>
    <x v="10"/>
    <n v="10.4"/>
    <n v="197.6"/>
    <x v="6"/>
    <d v="2025-01-09T00:00:00"/>
    <s v="M"/>
    <x v="0"/>
    <x v="2"/>
    <x v="0"/>
    <x v="2"/>
    <n v="2"/>
    <x v="1"/>
    <x v="1"/>
  </r>
  <r>
    <s v="TX500173"/>
    <x v="10"/>
    <x v="0"/>
    <n v="36.1"/>
    <n v="36.1"/>
    <x v="6"/>
    <d v="2025-01-10T00:00:00"/>
    <s v="M"/>
    <x v="3"/>
    <x v="2"/>
    <x v="0"/>
    <x v="3"/>
    <n v="3"/>
    <x v="1"/>
    <x v="1"/>
  </r>
  <r>
    <s v="TX500174"/>
    <x v="14"/>
    <x v="1"/>
    <n v="17.3"/>
    <n v="34.6"/>
    <x v="6"/>
    <d v="2025-01-09T00:00:00"/>
    <s v="F"/>
    <x v="1"/>
    <x v="2"/>
    <x v="0"/>
    <x v="3"/>
    <n v="2"/>
    <x v="1"/>
    <x v="2"/>
  </r>
  <r>
    <s v="TX500175"/>
    <x v="10"/>
    <x v="1"/>
    <n v="30.5"/>
    <n v="61"/>
    <x v="6"/>
    <d v="2025-01-08T00:00:00"/>
    <s v="F"/>
    <x v="1"/>
    <x v="2"/>
    <x v="0"/>
    <x v="3"/>
    <n v="1"/>
    <x v="1"/>
    <x v="2"/>
  </r>
  <r>
    <s v="TX500176"/>
    <x v="18"/>
    <x v="22"/>
    <n v="70.099999999999994"/>
    <n v="4346.2"/>
    <x v="6"/>
    <d v="2025-01-07T00:00:00"/>
    <s v="F"/>
    <x v="2"/>
    <x v="0"/>
    <x v="0"/>
    <x v="3"/>
    <n v="0"/>
    <x v="1"/>
    <x v="2"/>
  </r>
  <r>
    <s v="TX500177"/>
    <x v="3"/>
    <x v="0"/>
    <n v="76.099999999999994"/>
    <n v="76.099999999999994"/>
    <x v="6"/>
    <d v="2025-01-07T00:00:00"/>
    <s v="F"/>
    <x v="2"/>
    <x v="1"/>
    <x v="0"/>
    <x v="3"/>
    <n v="0"/>
    <x v="1"/>
    <x v="2"/>
  </r>
  <r>
    <s v="TX500178"/>
    <x v="15"/>
    <x v="15"/>
    <n v="34.200000000000003"/>
    <n v="444.6"/>
    <x v="6"/>
    <d v="2025-01-08T00:00:00"/>
    <s v="M"/>
    <x v="0"/>
    <x v="0"/>
    <x v="0"/>
    <x v="3"/>
    <n v="1"/>
    <x v="1"/>
    <x v="1"/>
  </r>
  <r>
    <s v="TX500179"/>
    <x v="8"/>
    <x v="9"/>
    <n v="30.3"/>
    <n v="151.5"/>
    <x v="6"/>
    <d v="2025-01-12T00:00:00"/>
    <s v="F"/>
    <x v="4"/>
    <x v="0"/>
    <x v="0"/>
    <x v="3"/>
    <n v="5"/>
    <x v="1"/>
    <x v="2"/>
  </r>
  <r>
    <s v="TX500180"/>
    <x v="6"/>
    <x v="9"/>
    <n v="52.5"/>
    <n v="262.5"/>
    <x v="6"/>
    <d v="2025-01-11T00:00:00"/>
    <s v=""/>
    <x v="3"/>
    <x v="0"/>
    <x v="0"/>
    <x v="3"/>
    <n v="4"/>
    <x v="1"/>
    <x v="0"/>
  </r>
  <r>
    <s v="TX500181"/>
    <x v="9"/>
    <x v="5"/>
    <n v="28.7"/>
    <n v="315.7"/>
    <x v="6"/>
    <d v="2025-01-08T00:00:00"/>
    <s v="F"/>
    <x v="2"/>
    <x v="0"/>
    <x v="0"/>
    <x v="3"/>
    <n v="1"/>
    <x v="1"/>
    <x v="2"/>
  </r>
  <r>
    <s v="TX500182"/>
    <x v="7"/>
    <x v="3"/>
    <n v="52"/>
    <n v="364"/>
    <x v="6"/>
    <d v="2025-01-08T00:00:00"/>
    <s v="M"/>
    <x v="1"/>
    <x v="4"/>
    <x v="0"/>
    <x v="3"/>
    <n v="1"/>
    <x v="1"/>
    <x v="1"/>
  </r>
  <r>
    <s v="TX500183"/>
    <x v="0"/>
    <x v="0"/>
    <n v="13.3"/>
    <n v="13.3"/>
    <x v="7"/>
    <d v="2025-01-12T00:00:00"/>
    <s v="F"/>
    <x v="2"/>
    <x v="1"/>
    <x v="0"/>
    <x v="3"/>
    <n v="4"/>
    <x v="1"/>
    <x v="2"/>
  </r>
  <r>
    <s v="TX500184"/>
    <x v="0"/>
    <x v="2"/>
    <n v="15.7"/>
    <n v="47.099999999999994"/>
    <x v="7"/>
    <d v="2025-01-09T00:00:00"/>
    <s v="F"/>
    <x v="1"/>
    <x v="0"/>
    <x v="0"/>
    <x v="29"/>
    <n v="1"/>
    <x v="1"/>
    <x v="2"/>
  </r>
  <r>
    <s v="TX500185"/>
    <x v="8"/>
    <x v="1"/>
    <n v="25.6"/>
    <n v="51.2"/>
    <x v="7"/>
    <d v="2025-01-09T00:00:00"/>
    <s v="M"/>
    <x v="0"/>
    <x v="2"/>
    <x v="0"/>
    <x v="23"/>
    <n v="1"/>
    <x v="1"/>
    <x v="1"/>
  </r>
  <r>
    <s v="TX500186"/>
    <x v="8"/>
    <x v="0"/>
    <n v="43.4"/>
    <n v="43.4"/>
    <x v="7"/>
    <d v="2025-01-13T00:00:00"/>
    <s v="M"/>
    <x v="0"/>
    <x v="0"/>
    <x v="0"/>
    <x v="6"/>
    <n v="5"/>
    <x v="1"/>
    <x v="1"/>
  </r>
  <r>
    <s v="TX500187"/>
    <x v="11"/>
    <x v="11"/>
    <n v="33.4"/>
    <n v="300.59999999999997"/>
    <x v="7"/>
    <d v="2025-01-08T00:00:00"/>
    <s v="F"/>
    <x v="0"/>
    <x v="0"/>
    <x v="0"/>
    <x v="8"/>
    <n v="0"/>
    <x v="1"/>
    <x v="2"/>
  </r>
  <r>
    <s v="TX500188"/>
    <x v="8"/>
    <x v="10"/>
    <n v="55"/>
    <n v="1045"/>
    <x v="7"/>
    <d v="2025-01-09T00:00:00"/>
    <s v="F"/>
    <x v="1"/>
    <x v="2"/>
    <x v="0"/>
    <x v="8"/>
    <n v="1"/>
    <x v="1"/>
    <x v="2"/>
  </r>
  <r>
    <s v="TX500189"/>
    <x v="8"/>
    <x v="2"/>
    <n v="23.6"/>
    <n v="70.800000000000011"/>
    <x v="7"/>
    <d v="2025-01-09T00:00:00"/>
    <s v="M"/>
    <x v="0"/>
    <x v="2"/>
    <x v="0"/>
    <x v="8"/>
    <n v="1"/>
    <x v="1"/>
    <x v="1"/>
  </r>
  <r>
    <s v="TX500190"/>
    <x v="12"/>
    <x v="11"/>
    <n v="104"/>
    <n v="936"/>
    <x v="7"/>
    <d v="2025-01-10T00:00:00"/>
    <s v="F"/>
    <x v="2"/>
    <x v="2"/>
    <x v="0"/>
    <x v="17"/>
    <n v="2"/>
    <x v="1"/>
    <x v="2"/>
  </r>
  <r>
    <s v="TX500191"/>
    <x v="6"/>
    <x v="1"/>
    <n v="51.8"/>
    <n v="103.6"/>
    <x v="7"/>
    <d v="2025-01-12T00:00:00"/>
    <s v=""/>
    <x v="0"/>
    <x v="2"/>
    <x v="0"/>
    <x v="10"/>
    <n v="4"/>
    <x v="1"/>
    <x v="0"/>
  </r>
  <r>
    <s v="TX500192"/>
    <x v="10"/>
    <x v="9"/>
    <n v="34.5"/>
    <n v="172.5"/>
    <x v="7"/>
    <d v="2025-01-10T00:00:00"/>
    <s v=""/>
    <x v="2"/>
    <x v="2"/>
    <x v="0"/>
    <x v="11"/>
    <n v="2"/>
    <x v="1"/>
    <x v="0"/>
  </r>
  <r>
    <s v="TX500193"/>
    <x v="6"/>
    <x v="1"/>
    <n v="51.8"/>
    <n v="103.6"/>
    <x v="7"/>
    <d v="2025-01-10T00:00:00"/>
    <s v="M"/>
    <x v="1"/>
    <x v="2"/>
    <x v="0"/>
    <x v="30"/>
    <n v="2"/>
    <x v="1"/>
    <x v="1"/>
  </r>
  <r>
    <s v="TX500194"/>
    <x v="18"/>
    <x v="23"/>
    <n v="131.5"/>
    <n v="5654.5"/>
    <x v="7"/>
    <d v="2025-01-09T00:00:00"/>
    <s v="F"/>
    <x v="0"/>
    <x v="2"/>
    <x v="0"/>
    <x v="18"/>
    <n v="1"/>
    <x v="1"/>
    <x v="2"/>
  </r>
  <r>
    <s v="TX500195"/>
    <x v="8"/>
    <x v="3"/>
    <n v="47.8"/>
    <n v="334.59999999999997"/>
    <x v="7"/>
    <d v="2025-01-08T00:00:00"/>
    <s v="F"/>
    <x v="0"/>
    <x v="0"/>
    <x v="0"/>
    <x v="19"/>
    <n v="0"/>
    <x v="1"/>
    <x v="2"/>
  </r>
  <r>
    <s v="TX500196"/>
    <x v="0"/>
    <x v="1"/>
    <n v="10.199999999999999"/>
    <n v="20.399999999999999"/>
    <x v="7"/>
    <d v="2025-01-10T00:00:00"/>
    <s v="F"/>
    <x v="0"/>
    <x v="0"/>
    <x v="0"/>
    <x v="19"/>
    <n v="2"/>
    <x v="1"/>
    <x v="2"/>
  </r>
  <r>
    <s v="TX500197"/>
    <x v="8"/>
    <x v="8"/>
    <n v="41"/>
    <n v="328"/>
    <x v="7"/>
    <d v="2025-01-08T00:00:00"/>
    <s v="F"/>
    <x v="1"/>
    <x v="2"/>
    <x v="0"/>
    <x v="19"/>
    <n v="0"/>
    <x v="1"/>
    <x v="2"/>
  </r>
  <r>
    <s v="TX500198"/>
    <x v="10"/>
    <x v="3"/>
    <n v="50.8"/>
    <n v="355.59999999999997"/>
    <x v="7"/>
    <d v="2025-01-11T00:00:00"/>
    <s v="F"/>
    <x v="1"/>
    <x v="0"/>
    <x v="0"/>
    <x v="21"/>
    <n v="3"/>
    <x v="1"/>
    <x v="2"/>
  </r>
  <r>
    <s v="TX500199"/>
    <x v="18"/>
    <x v="2"/>
    <n v="39.6"/>
    <n v="118.80000000000001"/>
    <x v="7"/>
    <d v="2025-01-09T00:00:00"/>
    <s v="M"/>
    <x v="2"/>
    <x v="2"/>
    <x v="0"/>
    <x v="1"/>
    <n v="1"/>
    <x v="1"/>
    <x v="1"/>
  </r>
  <r>
    <s v="TX500200"/>
    <x v="5"/>
    <x v="1"/>
    <n v="69.5"/>
    <n v="139"/>
    <x v="7"/>
    <d v="2025-01-10T00:00:00"/>
    <s v="M"/>
    <x v="0"/>
    <x v="2"/>
    <x v="0"/>
    <x v="2"/>
    <n v="2"/>
    <x v="1"/>
    <x v="1"/>
  </r>
  <r>
    <s v="TX500201"/>
    <x v="8"/>
    <x v="8"/>
    <n v="32.6"/>
    <n v="260.8"/>
    <x v="7"/>
    <d v="2025-01-11T00:00:00"/>
    <s v="M"/>
    <x v="1"/>
    <x v="0"/>
    <x v="0"/>
    <x v="3"/>
    <n v="3"/>
    <x v="1"/>
    <x v="1"/>
  </r>
  <r>
    <s v="TX500202"/>
    <x v="7"/>
    <x v="1"/>
    <n v="49.1"/>
    <n v="98.2"/>
    <x v="7"/>
    <d v="2025-01-16T00:00:00"/>
    <s v="M"/>
    <x v="3"/>
    <x v="2"/>
    <x v="0"/>
    <x v="3"/>
    <n v="8"/>
    <x v="1"/>
    <x v="1"/>
  </r>
  <r>
    <s v="TX500203"/>
    <x v="6"/>
    <x v="1"/>
    <n v="49.4"/>
    <n v="98.8"/>
    <x v="8"/>
    <d v="2025-01-10T00:00:00"/>
    <s v="F"/>
    <x v="2"/>
    <x v="0"/>
    <x v="0"/>
    <x v="3"/>
    <n v="1"/>
    <x v="1"/>
    <x v="2"/>
  </r>
  <r>
    <s v="TX500204"/>
    <x v="7"/>
    <x v="3"/>
    <n v="65.099999999999994"/>
    <n v="455.69999999999993"/>
    <x v="8"/>
    <d v="2025-01-12T00:00:00"/>
    <s v="F"/>
    <x v="2"/>
    <x v="2"/>
    <x v="0"/>
    <x v="3"/>
    <n v="3"/>
    <x v="1"/>
    <x v="2"/>
  </r>
  <r>
    <s v="TX500205"/>
    <x v="3"/>
    <x v="1"/>
    <n v="52.1"/>
    <n v="104.2"/>
    <x v="8"/>
    <d v="2025-01-13T00:00:00"/>
    <s v="F"/>
    <x v="2"/>
    <x v="0"/>
    <x v="0"/>
    <x v="3"/>
    <n v="4"/>
    <x v="1"/>
    <x v="2"/>
  </r>
  <r>
    <s v="TX500206"/>
    <x v="2"/>
    <x v="12"/>
    <n v="129.19999999999999"/>
    <n v="516.79999999999995"/>
    <x v="8"/>
    <d v="2025-01-10T00:00:00"/>
    <s v="F"/>
    <x v="1"/>
    <x v="0"/>
    <x v="0"/>
    <x v="3"/>
    <n v="1"/>
    <x v="1"/>
    <x v="2"/>
  </r>
  <r>
    <s v="TX500207"/>
    <x v="1"/>
    <x v="10"/>
    <n v="81.8"/>
    <n v="1554.2"/>
    <x v="8"/>
    <d v="2025-01-09T00:00:00"/>
    <s v="F"/>
    <x v="1"/>
    <x v="1"/>
    <x v="0"/>
    <x v="3"/>
    <n v="0"/>
    <x v="1"/>
    <x v="2"/>
  </r>
  <r>
    <s v="TX500208"/>
    <x v="17"/>
    <x v="0"/>
    <n v="24.9"/>
    <n v="24.9"/>
    <x v="8"/>
    <d v="2025-01-13T00:00:00"/>
    <s v="F"/>
    <x v="1"/>
    <x v="0"/>
    <x v="0"/>
    <x v="3"/>
    <n v="4"/>
    <x v="1"/>
    <x v="2"/>
  </r>
  <r>
    <s v="TX500209"/>
    <x v="0"/>
    <x v="2"/>
    <n v="49.4"/>
    <n v="148.19999999999999"/>
    <x v="8"/>
    <d v="2025-01-12T00:00:00"/>
    <s v="F"/>
    <x v="4"/>
    <x v="4"/>
    <x v="0"/>
    <x v="3"/>
    <n v="3"/>
    <x v="1"/>
    <x v="2"/>
  </r>
  <r>
    <s v="TX500210"/>
    <x v="8"/>
    <x v="1"/>
    <n v="22.7"/>
    <n v="45.4"/>
    <x v="8"/>
    <d v="2025-01-10T00:00:00"/>
    <s v="M"/>
    <x v="3"/>
    <x v="2"/>
    <x v="0"/>
    <x v="3"/>
    <n v="1"/>
    <x v="1"/>
    <x v="1"/>
  </r>
  <r>
    <s v="TX500211"/>
    <x v="1"/>
    <x v="0"/>
    <n v="77.3"/>
    <n v="77.3"/>
    <x v="8"/>
    <d v="2025-01-09T00:00:00"/>
    <s v="F"/>
    <x v="0"/>
    <x v="2"/>
    <x v="0"/>
    <x v="6"/>
    <n v="0"/>
    <x v="1"/>
    <x v="2"/>
  </r>
  <r>
    <s v="TX500212"/>
    <x v="1"/>
    <x v="9"/>
    <n v="109.1"/>
    <n v="545.5"/>
    <x v="8"/>
    <d v="2025-01-12T00:00:00"/>
    <s v="F"/>
    <x v="0"/>
    <x v="0"/>
    <x v="0"/>
    <x v="6"/>
    <n v="3"/>
    <x v="1"/>
    <x v="2"/>
  </r>
  <r>
    <s v="TX500213"/>
    <x v="2"/>
    <x v="12"/>
    <n v="53.9"/>
    <n v="215.6"/>
    <x v="8"/>
    <d v="2025-01-10T00:00:00"/>
    <s v="M"/>
    <x v="0"/>
    <x v="1"/>
    <x v="0"/>
    <x v="8"/>
    <n v="1"/>
    <x v="1"/>
    <x v="1"/>
  </r>
  <r>
    <s v="TX500214"/>
    <x v="9"/>
    <x v="18"/>
    <n v="21.2"/>
    <n v="551.19999999999993"/>
    <x v="8"/>
    <d v="2025-01-09T00:00:00"/>
    <s v="F"/>
    <x v="0"/>
    <x v="0"/>
    <x v="0"/>
    <x v="9"/>
    <n v="0"/>
    <x v="1"/>
    <x v="2"/>
  </r>
  <r>
    <s v="TX500215"/>
    <x v="16"/>
    <x v="12"/>
    <n v="69"/>
    <n v="276"/>
    <x v="8"/>
    <d v="2025-01-11T00:00:00"/>
    <s v="F"/>
    <x v="1"/>
    <x v="1"/>
    <x v="0"/>
    <x v="18"/>
    <n v="2"/>
    <x v="1"/>
    <x v="2"/>
  </r>
  <r>
    <s v="TX500216"/>
    <x v="6"/>
    <x v="2"/>
    <n v="46.2"/>
    <n v="138.60000000000002"/>
    <x v="8"/>
    <d v="2025-01-11T00:00:00"/>
    <s v="F"/>
    <x v="0"/>
    <x v="2"/>
    <x v="0"/>
    <x v="31"/>
    <n v="2"/>
    <x v="1"/>
    <x v="2"/>
  </r>
  <r>
    <s v="TX500217"/>
    <x v="1"/>
    <x v="9"/>
    <n v="97.4"/>
    <n v="487"/>
    <x v="8"/>
    <d v="2025-01-13T00:00:00"/>
    <s v="F"/>
    <x v="4"/>
    <x v="2"/>
    <x v="0"/>
    <x v="21"/>
    <n v="4"/>
    <x v="1"/>
    <x v="2"/>
  </r>
  <r>
    <s v="TX500218"/>
    <x v="8"/>
    <x v="9"/>
    <n v="21"/>
    <n v="105"/>
    <x v="8"/>
    <d v="2025-01-10T00:00:00"/>
    <s v="M"/>
    <x v="0"/>
    <x v="1"/>
    <x v="0"/>
    <x v="21"/>
    <n v="1"/>
    <x v="1"/>
    <x v="1"/>
  </r>
  <r>
    <s v="TX500219"/>
    <x v="5"/>
    <x v="1"/>
    <n v="32.700000000000003"/>
    <n v="65.400000000000006"/>
    <x v="9"/>
    <d v="2025-01-13T00:00:00"/>
    <s v="F"/>
    <x v="1"/>
    <x v="0"/>
    <x v="0"/>
    <x v="2"/>
    <n v="3"/>
    <x v="1"/>
    <x v="2"/>
  </r>
  <r>
    <s v="TX500220"/>
    <x v="6"/>
    <x v="12"/>
    <n v="48"/>
    <n v="192"/>
    <x v="9"/>
    <d v="2025-01-11T00:00:00"/>
    <s v="M"/>
    <x v="3"/>
    <x v="0"/>
    <x v="0"/>
    <x v="3"/>
    <n v="1"/>
    <x v="1"/>
    <x v="1"/>
  </r>
  <r>
    <s v="TX500221"/>
    <x v="6"/>
    <x v="2"/>
    <n v="68.2"/>
    <n v="204.60000000000002"/>
    <x v="9"/>
    <d v="2025-01-14T00:00:00"/>
    <s v=""/>
    <x v="0"/>
    <x v="2"/>
    <x v="0"/>
    <x v="3"/>
    <n v="4"/>
    <x v="1"/>
    <x v="0"/>
  </r>
  <r>
    <s v="TX500222"/>
    <x v="5"/>
    <x v="0"/>
    <n v="45.4"/>
    <n v="45.4"/>
    <x v="9"/>
    <d v="2025-01-12T00:00:00"/>
    <s v="M"/>
    <x v="1"/>
    <x v="0"/>
    <x v="0"/>
    <x v="3"/>
    <n v="2"/>
    <x v="1"/>
    <x v="1"/>
  </r>
  <r>
    <s v="TX500223"/>
    <x v="12"/>
    <x v="1"/>
    <n v="53.9"/>
    <n v="107.8"/>
    <x v="9"/>
    <d v="2025-01-11T00:00:00"/>
    <s v="F"/>
    <x v="2"/>
    <x v="0"/>
    <x v="0"/>
    <x v="3"/>
    <n v="1"/>
    <x v="1"/>
    <x v="2"/>
  </r>
  <r>
    <s v="TX500224"/>
    <x v="2"/>
    <x v="12"/>
    <n v="62.1"/>
    <n v="248.4"/>
    <x v="9"/>
    <d v="2025-01-14T00:00:00"/>
    <s v="F"/>
    <x v="0"/>
    <x v="0"/>
    <x v="0"/>
    <x v="4"/>
    <n v="4"/>
    <x v="1"/>
    <x v="2"/>
  </r>
  <r>
    <s v="TX500225"/>
    <x v="13"/>
    <x v="3"/>
    <n v="33.1"/>
    <n v="231.70000000000002"/>
    <x v="9"/>
    <d v="2025-01-15T00:00:00"/>
    <s v="M"/>
    <x v="1"/>
    <x v="0"/>
    <x v="0"/>
    <x v="6"/>
    <n v="5"/>
    <x v="1"/>
    <x v="1"/>
  </r>
  <r>
    <s v="TX500226"/>
    <x v="18"/>
    <x v="9"/>
    <n v="35.200000000000003"/>
    <n v="176"/>
    <x v="9"/>
    <d v="2025-01-10T00:00:00"/>
    <s v="F"/>
    <x v="1"/>
    <x v="0"/>
    <x v="0"/>
    <x v="6"/>
    <n v="0"/>
    <x v="1"/>
    <x v="2"/>
  </r>
  <r>
    <s v="TX500227"/>
    <x v="9"/>
    <x v="2"/>
    <n v="32.1"/>
    <n v="96.300000000000011"/>
    <x v="9"/>
    <d v="2025-01-15T00:00:00"/>
    <s v="M"/>
    <x v="3"/>
    <x v="0"/>
    <x v="0"/>
    <x v="8"/>
    <n v="5"/>
    <x v="1"/>
    <x v="1"/>
  </r>
  <r>
    <s v="TX500228"/>
    <x v="11"/>
    <x v="0"/>
    <n v="38.1"/>
    <n v="38.1"/>
    <x v="9"/>
    <d v="2025-01-15T00:00:00"/>
    <s v="F"/>
    <x v="0"/>
    <x v="2"/>
    <x v="0"/>
    <x v="8"/>
    <n v="5"/>
    <x v="1"/>
    <x v="2"/>
  </r>
  <r>
    <s v="TX500229"/>
    <x v="8"/>
    <x v="0"/>
    <n v="65.2"/>
    <n v="65.2"/>
    <x v="9"/>
    <d v="2025-01-15T00:00:00"/>
    <s v="F"/>
    <x v="3"/>
    <x v="1"/>
    <x v="0"/>
    <x v="8"/>
    <n v="5"/>
    <x v="1"/>
    <x v="2"/>
  </r>
  <r>
    <s v="TX500230"/>
    <x v="10"/>
    <x v="3"/>
    <n v="55.2"/>
    <n v="386.40000000000003"/>
    <x v="9"/>
    <d v="2025-01-11T00:00:00"/>
    <s v="M"/>
    <x v="2"/>
    <x v="0"/>
    <x v="0"/>
    <x v="11"/>
    <n v="1"/>
    <x v="1"/>
    <x v="1"/>
  </r>
  <r>
    <s v="TX500231"/>
    <x v="6"/>
    <x v="0"/>
    <n v="62"/>
    <n v="62"/>
    <x v="9"/>
    <d v="2025-01-14T00:00:00"/>
    <s v="F"/>
    <x v="0"/>
    <x v="0"/>
    <x v="0"/>
    <x v="11"/>
    <n v="4"/>
    <x v="1"/>
    <x v="2"/>
  </r>
  <r>
    <s v="TX500232"/>
    <x v="7"/>
    <x v="2"/>
    <n v="45.9"/>
    <n v="137.69999999999999"/>
    <x v="9"/>
    <d v="2025-01-11T00:00:00"/>
    <s v="F"/>
    <x v="2"/>
    <x v="0"/>
    <x v="0"/>
    <x v="32"/>
    <n v="1"/>
    <x v="1"/>
    <x v="2"/>
  </r>
  <r>
    <s v="TX500233"/>
    <x v="18"/>
    <x v="2"/>
    <n v="58.3"/>
    <n v="174.89999999999998"/>
    <x v="9"/>
    <d v="2025-01-10T00:00:00"/>
    <s v="M"/>
    <x v="1"/>
    <x v="1"/>
    <x v="0"/>
    <x v="18"/>
    <n v="0"/>
    <x v="1"/>
    <x v="1"/>
  </r>
  <r>
    <s v="TX500234"/>
    <x v="8"/>
    <x v="1"/>
    <n v="22.3"/>
    <n v="44.6"/>
    <x v="9"/>
    <d v="2025-01-13T00:00:00"/>
    <s v="F"/>
    <x v="0"/>
    <x v="2"/>
    <x v="0"/>
    <x v="20"/>
    <n v="3"/>
    <x v="1"/>
    <x v="2"/>
  </r>
  <r>
    <s v="TX500235"/>
    <x v="19"/>
    <x v="9"/>
    <n v="24"/>
    <n v="120"/>
    <x v="9"/>
    <d v="2025-01-11T00:00:00"/>
    <s v="M"/>
    <x v="4"/>
    <x v="0"/>
    <x v="0"/>
    <x v="1"/>
    <n v="1"/>
    <x v="1"/>
    <x v="1"/>
  </r>
  <r>
    <s v="TX500236"/>
    <x v="0"/>
    <x v="7"/>
    <n v="21.3"/>
    <n v="213"/>
    <x v="9"/>
    <d v="2025-01-10T00:00:00"/>
    <s v="F"/>
    <x v="1"/>
    <x v="2"/>
    <x v="0"/>
    <x v="22"/>
    <n v="0"/>
    <x v="1"/>
    <x v="2"/>
  </r>
  <r>
    <s v="TX500237"/>
    <x v="6"/>
    <x v="24"/>
    <n v="57.8"/>
    <n v="2369.7999999999997"/>
    <x v="9"/>
    <d v="2025-01-12T00:00:00"/>
    <s v="F"/>
    <x v="0"/>
    <x v="2"/>
    <x v="0"/>
    <x v="3"/>
    <n v="2"/>
    <x v="1"/>
    <x v="2"/>
  </r>
  <r>
    <s v="TX500238"/>
    <x v="10"/>
    <x v="2"/>
    <n v="67.599999999999994"/>
    <n v="202.79999999999998"/>
    <x v="9"/>
    <d v="2025-01-11T00:00:00"/>
    <s v="F"/>
    <x v="0"/>
    <x v="0"/>
    <x v="0"/>
    <x v="3"/>
    <n v="1"/>
    <x v="1"/>
    <x v="2"/>
  </r>
  <r>
    <s v="TX500239"/>
    <x v="6"/>
    <x v="13"/>
    <n v="66.7"/>
    <n v="400.20000000000005"/>
    <x v="9"/>
    <d v="2025-01-14T00:00:00"/>
    <s v="M"/>
    <x v="4"/>
    <x v="1"/>
    <x v="0"/>
    <x v="3"/>
    <n v="4"/>
    <x v="1"/>
    <x v="1"/>
  </r>
  <r>
    <s v="TX500240"/>
    <x v="1"/>
    <x v="12"/>
    <n v="53.1"/>
    <n v="212.4"/>
    <x v="9"/>
    <d v="2025-01-12T00:00:00"/>
    <s v="F"/>
    <x v="1"/>
    <x v="0"/>
    <x v="0"/>
    <x v="3"/>
    <n v="2"/>
    <x v="1"/>
    <x v="2"/>
  </r>
  <r>
    <s v="TX500241"/>
    <x v="12"/>
    <x v="2"/>
    <n v="57.4"/>
    <n v="172.2"/>
    <x v="9"/>
    <d v="2025-01-13T00:00:00"/>
    <s v="F"/>
    <x v="0"/>
    <x v="2"/>
    <x v="0"/>
    <x v="29"/>
    <n v="3"/>
    <x v="1"/>
    <x v="2"/>
  </r>
  <r>
    <s v="TX500242"/>
    <x v="2"/>
    <x v="9"/>
    <n v="58.1"/>
    <n v="290.5"/>
    <x v="9"/>
    <d v="2025-01-10T00:00:00"/>
    <s v="M"/>
    <x v="2"/>
    <x v="2"/>
    <x v="0"/>
    <x v="6"/>
    <n v="0"/>
    <x v="1"/>
    <x v="1"/>
  </r>
  <r>
    <s v="TX500243"/>
    <x v="5"/>
    <x v="2"/>
    <n v="31.8"/>
    <n v="95.4"/>
    <x v="10"/>
    <d v="2025-01-13T00:00:00"/>
    <s v="M"/>
    <x v="3"/>
    <x v="0"/>
    <x v="0"/>
    <x v="6"/>
    <n v="2"/>
    <x v="1"/>
    <x v="1"/>
  </r>
  <r>
    <s v="TX500244"/>
    <x v="4"/>
    <x v="2"/>
    <n v="31.5"/>
    <n v="94.5"/>
    <x v="10"/>
    <d v="2025-01-14T00:00:00"/>
    <s v="M"/>
    <x v="0"/>
    <x v="1"/>
    <x v="0"/>
    <x v="8"/>
    <n v="3"/>
    <x v="1"/>
    <x v="1"/>
  </r>
  <r>
    <s v="TX500245"/>
    <x v="6"/>
    <x v="3"/>
    <n v="55.9"/>
    <n v="391.3"/>
    <x v="10"/>
    <d v="2025-01-15T00:00:00"/>
    <s v="F"/>
    <x v="1"/>
    <x v="2"/>
    <x v="0"/>
    <x v="8"/>
    <n v="4"/>
    <x v="1"/>
    <x v="2"/>
  </r>
  <r>
    <s v="TX500246"/>
    <x v="8"/>
    <x v="1"/>
    <n v="36.4"/>
    <n v="72.8"/>
    <x v="10"/>
    <d v="2025-01-12T00:00:00"/>
    <s v="M"/>
    <x v="1"/>
    <x v="1"/>
    <x v="0"/>
    <x v="9"/>
    <n v="1"/>
    <x v="1"/>
    <x v="1"/>
  </r>
  <r>
    <s v="TX500247"/>
    <x v="1"/>
    <x v="9"/>
    <n v="47.3"/>
    <n v="236.5"/>
    <x v="10"/>
    <d v="2025-01-14T00:00:00"/>
    <s v="M"/>
    <x v="2"/>
    <x v="0"/>
    <x v="0"/>
    <x v="10"/>
    <n v="3"/>
    <x v="1"/>
    <x v="1"/>
  </r>
  <r>
    <s v="TX500248"/>
    <x v="6"/>
    <x v="2"/>
    <n v="82.5"/>
    <n v="247.5"/>
    <x v="10"/>
    <d v="2025-01-12T00:00:00"/>
    <s v="M"/>
    <x v="0"/>
    <x v="0"/>
    <x v="0"/>
    <x v="11"/>
    <n v="1"/>
    <x v="1"/>
    <x v="1"/>
  </r>
  <r>
    <s v="TX500249"/>
    <x v="0"/>
    <x v="0"/>
    <n v="14.3"/>
    <n v="14.3"/>
    <x v="10"/>
    <d v="2025-01-12T00:00:00"/>
    <s v="F"/>
    <x v="0"/>
    <x v="0"/>
    <x v="0"/>
    <x v="21"/>
    <n v="1"/>
    <x v="1"/>
    <x v="2"/>
  </r>
  <r>
    <s v="TX500250"/>
    <x v="2"/>
    <x v="13"/>
    <n v="57.6"/>
    <n v="345.6"/>
    <x v="10"/>
    <d v="2025-01-25T00:00:00"/>
    <s v="F"/>
    <x v="0"/>
    <x v="0"/>
    <x v="0"/>
    <x v="21"/>
    <n v="14"/>
    <x v="1"/>
    <x v="2"/>
  </r>
  <r>
    <s v="TX500251"/>
    <x v="2"/>
    <x v="2"/>
    <n v="142.4"/>
    <n v="427.20000000000005"/>
    <x v="10"/>
    <d v="2025-01-13T00:00:00"/>
    <s v="M"/>
    <x v="4"/>
    <x v="1"/>
    <x v="0"/>
    <x v="21"/>
    <n v="2"/>
    <x v="1"/>
    <x v="1"/>
  </r>
  <r>
    <s v="TX500252"/>
    <x v="12"/>
    <x v="0"/>
    <n v="30.2"/>
    <n v="30.2"/>
    <x v="10"/>
    <d v="2025-01-15T00:00:00"/>
    <s v="M"/>
    <x v="1"/>
    <x v="2"/>
    <x v="0"/>
    <x v="2"/>
    <n v="4"/>
    <x v="1"/>
    <x v="1"/>
  </r>
  <r>
    <s v="TX500253"/>
    <x v="18"/>
    <x v="2"/>
    <n v="65.3"/>
    <n v="195.89999999999998"/>
    <x v="10"/>
    <d v="2025-01-12T00:00:00"/>
    <s v="O"/>
    <x v="1"/>
    <x v="0"/>
    <x v="0"/>
    <x v="33"/>
    <n v="1"/>
    <x v="1"/>
    <x v="3"/>
  </r>
  <r>
    <s v="TX500254"/>
    <x v="0"/>
    <x v="1"/>
    <n v="33.4"/>
    <n v="66.8"/>
    <x v="10"/>
    <d v="2025-01-12T00:00:00"/>
    <s v="M"/>
    <x v="1"/>
    <x v="1"/>
    <x v="0"/>
    <x v="22"/>
    <n v="1"/>
    <x v="1"/>
    <x v="1"/>
  </r>
  <r>
    <s v="TX500255"/>
    <x v="7"/>
    <x v="1"/>
    <n v="45.1"/>
    <n v="90.2"/>
    <x v="10"/>
    <d v="2025-01-19T00:00:00"/>
    <s v="M"/>
    <x v="0"/>
    <x v="0"/>
    <x v="0"/>
    <x v="34"/>
    <n v="8"/>
    <x v="1"/>
    <x v="1"/>
  </r>
  <r>
    <s v="TX500256"/>
    <x v="2"/>
    <x v="3"/>
    <n v="61.7"/>
    <n v="431.90000000000003"/>
    <x v="10"/>
    <d v="2025-01-13T00:00:00"/>
    <s v="F"/>
    <x v="4"/>
    <x v="0"/>
    <x v="0"/>
    <x v="3"/>
    <n v="2"/>
    <x v="1"/>
    <x v="2"/>
  </r>
  <r>
    <s v="TX500257"/>
    <x v="9"/>
    <x v="2"/>
    <n v="45.1"/>
    <n v="135.30000000000001"/>
    <x v="11"/>
    <d v="2025-01-13T00:00:00"/>
    <s v="M"/>
    <x v="4"/>
    <x v="1"/>
    <x v="0"/>
    <x v="3"/>
    <n v="1"/>
    <x v="2"/>
    <x v="1"/>
  </r>
  <r>
    <s v="TX500258"/>
    <x v="15"/>
    <x v="9"/>
    <n v="22.7"/>
    <n v="113.5"/>
    <x v="11"/>
    <d v="2025-01-17T00:00:00"/>
    <s v="M"/>
    <x v="0"/>
    <x v="2"/>
    <x v="0"/>
    <x v="35"/>
    <n v="5"/>
    <x v="2"/>
    <x v="1"/>
  </r>
  <r>
    <s v="TX500259"/>
    <x v="8"/>
    <x v="0"/>
    <n v="17.600000000000001"/>
    <n v="17.600000000000001"/>
    <x v="11"/>
    <d v="2025-01-13T00:00:00"/>
    <s v="F"/>
    <x v="0"/>
    <x v="2"/>
    <x v="0"/>
    <x v="23"/>
    <n v="1"/>
    <x v="2"/>
    <x v="2"/>
  </r>
  <r>
    <s v="TX500260"/>
    <x v="14"/>
    <x v="1"/>
    <n v="11.3"/>
    <n v="22.6"/>
    <x v="11"/>
    <d v="2025-01-15T00:00:00"/>
    <s v="F"/>
    <x v="3"/>
    <x v="2"/>
    <x v="0"/>
    <x v="23"/>
    <n v="3"/>
    <x v="2"/>
    <x v="2"/>
  </r>
  <r>
    <s v="TX500261"/>
    <x v="6"/>
    <x v="2"/>
    <n v="53.4"/>
    <n v="160.19999999999999"/>
    <x v="11"/>
    <d v="2025-01-15T00:00:00"/>
    <s v="M"/>
    <x v="3"/>
    <x v="2"/>
    <x v="0"/>
    <x v="36"/>
    <n v="3"/>
    <x v="2"/>
    <x v="1"/>
  </r>
  <r>
    <s v="TX500262"/>
    <x v="6"/>
    <x v="5"/>
    <n v="51.1"/>
    <n v="562.1"/>
    <x v="11"/>
    <d v="2025-01-14T00:00:00"/>
    <s v="F"/>
    <x v="2"/>
    <x v="2"/>
    <x v="0"/>
    <x v="8"/>
    <n v="2"/>
    <x v="2"/>
    <x v="2"/>
  </r>
  <r>
    <s v="TX500263"/>
    <x v="8"/>
    <x v="1"/>
    <n v="27.5"/>
    <n v="55"/>
    <x v="11"/>
    <d v="2025-01-13T00:00:00"/>
    <s v="M"/>
    <x v="4"/>
    <x v="1"/>
    <x v="0"/>
    <x v="8"/>
    <n v="1"/>
    <x v="2"/>
    <x v="1"/>
  </r>
  <r>
    <s v="TX500264"/>
    <x v="9"/>
    <x v="0"/>
    <n v="33.5"/>
    <n v="33.5"/>
    <x v="11"/>
    <d v="2025-01-14T00:00:00"/>
    <s v="F"/>
    <x v="0"/>
    <x v="4"/>
    <x v="0"/>
    <x v="8"/>
    <n v="2"/>
    <x v="2"/>
    <x v="2"/>
  </r>
  <r>
    <s v="TX500265"/>
    <x v="4"/>
    <x v="0"/>
    <n v="59.5"/>
    <n v="59.5"/>
    <x v="11"/>
    <d v="2025-01-12T00:00:00"/>
    <s v="M"/>
    <x v="0"/>
    <x v="2"/>
    <x v="0"/>
    <x v="18"/>
    <n v="0"/>
    <x v="2"/>
    <x v="1"/>
  </r>
  <r>
    <s v="TX500266"/>
    <x v="17"/>
    <x v="12"/>
    <n v="23.5"/>
    <n v="94"/>
    <x v="11"/>
    <d v="2025-01-13T00:00:00"/>
    <s v="F"/>
    <x v="3"/>
    <x v="3"/>
    <x v="0"/>
    <x v="19"/>
    <n v="1"/>
    <x v="2"/>
    <x v="2"/>
  </r>
  <r>
    <s v="TX500267"/>
    <x v="6"/>
    <x v="0"/>
    <n v="49.7"/>
    <n v="49.7"/>
    <x v="11"/>
    <d v="2025-01-13T00:00:00"/>
    <s v=""/>
    <x v="1"/>
    <x v="2"/>
    <x v="0"/>
    <x v="20"/>
    <n v="1"/>
    <x v="2"/>
    <x v="0"/>
  </r>
  <r>
    <s v="TX500268"/>
    <x v="6"/>
    <x v="12"/>
    <n v="44.2"/>
    <n v="176.8"/>
    <x v="11"/>
    <d v="2025-01-15T00:00:00"/>
    <s v="F"/>
    <x v="0"/>
    <x v="2"/>
    <x v="0"/>
    <x v="21"/>
    <n v="3"/>
    <x v="2"/>
    <x v="2"/>
  </r>
  <r>
    <s v="TX500269"/>
    <x v="8"/>
    <x v="0"/>
    <n v="22.1"/>
    <n v="22.1"/>
    <x v="11"/>
    <d v="2025-01-16T00:00:00"/>
    <s v="F"/>
    <x v="1"/>
    <x v="1"/>
    <x v="0"/>
    <x v="33"/>
    <n v="4"/>
    <x v="2"/>
    <x v="2"/>
  </r>
  <r>
    <s v="TX500270"/>
    <x v="6"/>
    <x v="2"/>
    <n v="90.9"/>
    <n v="272.70000000000005"/>
    <x v="11"/>
    <d v="2025-01-13T00:00:00"/>
    <s v="F"/>
    <x v="2"/>
    <x v="4"/>
    <x v="0"/>
    <x v="3"/>
    <n v="1"/>
    <x v="2"/>
    <x v="2"/>
  </r>
  <r>
    <s v="TX500271"/>
    <x v="8"/>
    <x v="2"/>
    <n v="44.5"/>
    <n v="133.5"/>
    <x v="11"/>
    <d v="2025-01-13T00:00:00"/>
    <s v="F"/>
    <x v="1"/>
    <x v="0"/>
    <x v="0"/>
    <x v="3"/>
    <n v="1"/>
    <x v="2"/>
    <x v="2"/>
  </r>
  <r>
    <s v="TX500272"/>
    <x v="9"/>
    <x v="13"/>
    <n v="32.299999999999997"/>
    <n v="193.79999999999998"/>
    <x v="11"/>
    <d v="2025-01-16T00:00:00"/>
    <s v="F"/>
    <x v="0"/>
    <x v="0"/>
    <x v="0"/>
    <x v="3"/>
    <n v="4"/>
    <x v="2"/>
    <x v="2"/>
  </r>
  <r>
    <s v="TX500273"/>
    <x v="17"/>
    <x v="2"/>
    <n v="87.5"/>
    <n v="262.5"/>
    <x v="11"/>
    <d v="2025-01-13T00:00:00"/>
    <s v="F"/>
    <x v="1"/>
    <x v="1"/>
    <x v="0"/>
    <x v="3"/>
    <n v="1"/>
    <x v="2"/>
    <x v="2"/>
  </r>
  <r>
    <s v="TX500274"/>
    <x v="16"/>
    <x v="9"/>
    <n v="48.7"/>
    <n v="243.5"/>
    <x v="11"/>
    <d v="2025-01-13T00:00:00"/>
    <s v="M"/>
    <x v="2"/>
    <x v="0"/>
    <x v="0"/>
    <x v="3"/>
    <n v="1"/>
    <x v="2"/>
    <x v="1"/>
  </r>
  <r>
    <s v="TX500275"/>
    <x v="0"/>
    <x v="9"/>
    <n v="22.5"/>
    <n v="112.5"/>
    <x v="11"/>
    <d v="2025-01-13T00:00:00"/>
    <s v="M"/>
    <x v="0"/>
    <x v="0"/>
    <x v="0"/>
    <x v="3"/>
    <n v="1"/>
    <x v="2"/>
    <x v="1"/>
  </r>
  <r>
    <s v="TX500276"/>
    <x v="1"/>
    <x v="8"/>
    <n v="65.900000000000006"/>
    <n v="527.20000000000005"/>
    <x v="11"/>
    <d v="2025-01-15T00:00:00"/>
    <s v="F"/>
    <x v="1"/>
    <x v="2"/>
    <x v="0"/>
    <x v="3"/>
    <n v="3"/>
    <x v="2"/>
    <x v="2"/>
  </r>
  <r>
    <s v="TX500277"/>
    <x v="6"/>
    <x v="9"/>
    <n v="41.9"/>
    <n v="209.5"/>
    <x v="11"/>
    <d v="2025-01-19T00:00:00"/>
    <s v=""/>
    <x v="0"/>
    <x v="0"/>
    <x v="0"/>
    <x v="3"/>
    <n v="7"/>
    <x v="2"/>
    <x v="0"/>
  </r>
  <r>
    <s v="TX500278"/>
    <x v="1"/>
    <x v="9"/>
    <n v="67.5"/>
    <n v="337.5"/>
    <x v="11"/>
    <d v="2025-01-13T00:00:00"/>
    <s v="F"/>
    <x v="0"/>
    <x v="2"/>
    <x v="0"/>
    <x v="3"/>
    <n v="1"/>
    <x v="2"/>
    <x v="2"/>
  </r>
  <r>
    <s v="TX500279"/>
    <x v="9"/>
    <x v="0"/>
    <n v="60.4"/>
    <n v="60.4"/>
    <x v="12"/>
    <d v="2025-01-15T00:00:00"/>
    <s v="F"/>
    <x v="1"/>
    <x v="1"/>
    <x v="0"/>
    <x v="3"/>
    <n v="2"/>
    <x v="2"/>
    <x v="2"/>
  </r>
  <r>
    <s v="TX500280"/>
    <x v="1"/>
    <x v="3"/>
    <n v="30.4"/>
    <n v="212.79999999999998"/>
    <x v="12"/>
    <d v="2025-01-16T00:00:00"/>
    <s v="F"/>
    <x v="4"/>
    <x v="0"/>
    <x v="0"/>
    <x v="3"/>
    <n v="3"/>
    <x v="2"/>
    <x v="2"/>
  </r>
  <r>
    <s v="TX500281"/>
    <x v="14"/>
    <x v="1"/>
    <n v="24.5"/>
    <n v="49"/>
    <x v="12"/>
    <d v="2025-01-14T00:00:00"/>
    <s v="M"/>
    <x v="3"/>
    <x v="2"/>
    <x v="0"/>
    <x v="3"/>
    <n v="1"/>
    <x v="2"/>
    <x v="1"/>
  </r>
  <r>
    <s v="TX500282"/>
    <x v="2"/>
    <x v="2"/>
    <n v="105.9"/>
    <n v="317.70000000000005"/>
    <x v="12"/>
    <d v="2025-01-18T00:00:00"/>
    <s v="M"/>
    <x v="0"/>
    <x v="0"/>
    <x v="0"/>
    <x v="37"/>
    <n v="5"/>
    <x v="2"/>
    <x v="1"/>
  </r>
  <r>
    <s v="TX500283"/>
    <x v="10"/>
    <x v="25"/>
    <n v="25.9"/>
    <n v="621.59999999999991"/>
    <x v="12"/>
    <d v="2025-01-14T00:00:00"/>
    <s v="F"/>
    <x v="4"/>
    <x v="0"/>
    <x v="0"/>
    <x v="23"/>
    <n v="1"/>
    <x v="2"/>
    <x v="2"/>
  </r>
  <r>
    <s v="TX500284"/>
    <x v="6"/>
    <x v="2"/>
    <n v="66.8"/>
    <n v="200.39999999999998"/>
    <x v="12"/>
    <d v="2025-01-13T00:00:00"/>
    <s v="M"/>
    <x v="0"/>
    <x v="0"/>
    <x v="0"/>
    <x v="23"/>
    <n v="0"/>
    <x v="2"/>
    <x v="1"/>
  </r>
  <r>
    <s v="TX500285"/>
    <x v="6"/>
    <x v="2"/>
    <n v="112.3"/>
    <n v="336.9"/>
    <x v="12"/>
    <d v="2025-01-14T00:00:00"/>
    <s v="M"/>
    <x v="2"/>
    <x v="4"/>
    <x v="0"/>
    <x v="6"/>
    <n v="1"/>
    <x v="2"/>
    <x v="1"/>
  </r>
  <r>
    <s v="TX500286"/>
    <x v="1"/>
    <x v="13"/>
    <n v="94.1"/>
    <n v="564.59999999999991"/>
    <x v="12"/>
    <d v="2025-01-14T00:00:00"/>
    <s v="F"/>
    <x v="0"/>
    <x v="4"/>
    <x v="0"/>
    <x v="6"/>
    <n v="1"/>
    <x v="2"/>
    <x v="2"/>
  </r>
  <r>
    <s v="TX500287"/>
    <x v="5"/>
    <x v="0"/>
    <n v="40.700000000000003"/>
    <n v="40.700000000000003"/>
    <x v="12"/>
    <d v="2025-01-16T00:00:00"/>
    <s v="F"/>
    <x v="2"/>
    <x v="0"/>
    <x v="0"/>
    <x v="6"/>
    <n v="3"/>
    <x v="2"/>
    <x v="2"/>
  </r>
  <r>
    <s v="TX500288"/>
    <x v="3"/>
    <x v="1"/>
    <n v="71.400000000000006"/>
    <n v="142.80000000000001"/>
    <x v="12"/>
    <d v="2025-01-14T00:00:00"/>
    <s v="M"/>
    <x v="0"/>
    <x v="0"/>
    <x v="0"/>
    <x v="7"/>
    <n v="1"/>
    <x v="2"/>
    <x v="1"/>
  </r>
  <r>
    <s v="TX500289"/>
    <x v="0"/>
    <x v="16"/>
    <n v="15.6"/>
    <n v="280.8"/>
    <x v="12"/>
    <d v="2025-01-14T00:00:00"/>
    <s v="M"/>
    <x v="1"/>
    <x v="3"/>
    <x v="0"/>
    <x v="8"/>
    <n v="1"/>
    <x v="2"/>
    <x v="1"/>
  </r>
  <r>
    <s v="TX500290"/>
    <x v="10"/>
    <x v="12"/>
    <n v="37.799999999999997"/>
    <n v="151.19999999999999"/>
    <x v="12"/>
    <d v="2025-01-14T00:00:00"/>
    <s v="M"/>
    <x v="2"/>
    <x v="2"/>
    <x v="0"/>
    <x v="8"/>
    <n v="1"/>
    <x v="2"/>
    <x v="1"/>
  </r>
  <r>
    <s v="TX500291"/>
    <x v="4"/>
    <x v="2"/>
    <n v="28.1"/>
    <n v="84.300000000000011"/>
    <x v="12"/>
    <d v="2025-01-17T00:00:00"/>
    <s v="M"/>
    <x v="0"/>
    <x v="0"/>
    <x v="0"/>
    <x v="8"/>
    <n v="4"/>
    <x v="2"/>
    <x v="1"/>
  </r>
  <r>
    <s v="TX500292"/>
    <x v="7"/>
    <x v="13"/>
    <n v="51.4"/>
    <n v="308.39999999999998"/>
    <x v="12"/>
    <d v="2025-01-17T00:00:00"/>
    <s v="M"/>
    <x v="0"/>
    <x v="0"/>
    <x v="0"/>
    <x v="8"/>
    <n v="4"/>
    <x v="2"/>
    <x v="1"/>
  </r>
  <r>
    <s v="TX500293"/>
    <x v="7"/>
    <x v="1"/>
    <n v="97.7"/>
    <n v="195.4"/>
    <x v="12"/>
    <d v="2025-01-15T00:00:00"/>
    <s v="F"/>
    <x v="4"/>
    <x v="2"/>
    <x v="0"/>
    <x v="17"/>
    <n v="2"/>
    <x v="2"/>
    <x v="2"/>
  </r>
  <r>
    <s v="TX500294"/>
    <x v="1"/>
    <x v="12"/>
    <n v="63.8"/>
    <n v="255.2"/>
    <x v="12"/>
    <d v="2025-01-14T00:00:00"/>
    <s v="M"/>
    <x v="2"/>
    <x v="0"/>
    <x v="0"/>
    <x v="38"/>
    <n v="1"/>
    <x v="2"/>
    <x v="1"/>
  </r>
  <r>
    <s v="TX500295"/>
    <x v="13"/>
    <x v="1"/>
    <n v="20.100000000000001"/>
    <n v="40.200000000000003"/>
    <x v="12"/>
    <d v="2025-01-15T00:00:00"/>
    <s v="M"/>
    <x v="0"/>
    <x v="2"/>
    <x v="0"/>
    <x v="20"/>
    <n v="2"/>
    <x v="2"/>
    <x v="1"/>
  </r>
  <r>
    <s v="TX500296"/>
    <x v="11"/>
    <x v="2"/>
    <n v="50.4"/>
    <n v="151.19999999999999"/>
    <x v="12"/>
    <d v="2025-01-16T00:00:00"/>
    <s v="F"/>
    <x v="3"/>
    <x v="0"/>
    <x v="0"/>
    <x v="13"/>
    <n v="3"/>
    <x v="2"/>
    <x v="2"/>
  </r>
  <r>
    <s v="TX500297"/>
    <x v="0"/>
    <x v="0"/>
    <n v="16.2"/>
    <n v="16.2"/>
    <x v="12"/>
    <d v="2025-01-26T00:00:00"/>
    <s v="F"/>
    <x v="1"/>
    <x v="0"/>
    <x v="0"/>
    <x v="1"/>
    <n v="13"/>
    <x v="2"/>
    <x v="2"/>
  </r>
  <r>
    <s v="TX500298"/>
    <x v="6"/>
    <x v="3"/>
    <n v="80.900000000000006"/>
    <n v="566.30000000000007"/>
    <x v="12"/>
    <d v="2025-01-15T00:00:00"/>
    <s v="M"/>
    <x v="4"/>
    <x v="4"/>
    <x v="0"/>
    <x v="2"/>
    <n v="2"/>
    <x v="2"/>
    <x v="1"/>
  </r>
  <r>
    <s v="TX500299"/>
    <x v="9"/>
    <x v="13"/>
    <n v="95.2"/>
    <n v="571.20000000000005"/>
    <x v="12"/>
    <d v="2025-01-15T00:00:00"/>
    <s v="F"/>
    <x v="0"/>
    <x v="2"/>
    <x v="0"/>
    <x v="2"/>
    <n v="2"/>
    <x v="2"/>
    <x v="2"/>
  </r>
  <r>
    <s v="TX500300"/>
    <x v="5"/>
    <x v="8"/>
    <n v="70.400000000000006"/>
    <n v="563.20000000000005"/>
    <x v="12"/>
    <d v="2025-01-14T00:00:00"/>
    <s v="M"/>
    <x v="1"/>
    <x v="1"/>
    <x v="0"/>
    <x v="3"/>
    <n v="1"/>
    <x v="2"/>
    <x v="1"/>
  </r>
  <r>
    <s v="TX500301"/>
    <x v="0"/>
    <x v="9"/>
    <n v="10.7"/>
    <n v="53.5"/>
    <x v="12"/>
    <d v="2025-01-17T00:00:00"/>
    <s v="F"/>
    <x v="2"/>
    <x v="0"/>
    <x v="0"/>
    <x v="3"/>
    <n v="4"/>
    <x v="2"/>
    <x v="2"/>
  </r>
  <r>
    <s v="TX500302"/>
    <x v="8"/>
    <x v="9"/>
    <n v="19.600000000000001"/>
    <n v="98"/>
    <x v="12"/>
    <d v="2025-01-15T00:00:00"/>
    <s v="F"/>
    <x v="0"/>
    <x v="3"/>
    <x v="0"/>
    <x v="3"/>
    <n v="2"/>
    <x v="2"/>
    <x v="2"/>
  </r>
  <r>
    <s v="TX500303"/>
    <x v="8"/>
    <x v="5"/>
    <n v="34.700000000000003"/>
    <n v="381.70000000000005"/>
    <x v="12"/>
    <d v="2025-01-15T00:00:00"/>
    <s v="F"/>
    <x v="0"/>
    <x v="2"/>
    <x v="0"/>
    <x v="3"/>
    <n v="2"/>
    <x v="2"/>
    <x v="2"/>
  </r>
  <r>
    <s v="TX500304"/>
    <x v="10"/>
    <x v="11"/>
    <n v="34.1"/>
    <n v="306.90000000000003"/>
    <x v="12"/>
    <d v="2025-01-14T00:00:00"/>
    <s v="F"/>
    <x v="4"/>
    <x v="1"/>
    <x v="0"/>
    <x v="3"/>
    <n v="1"/>
    <x v="2"/>
    <x v="2"/>
  </r>
  <r>
    <s v="TX500305"/>
    <x v="0"/>
    <x v="26"/>
    <n v="29.3"/>
    <n v="1435.7"/>
    <x v="12"/>
    <d v="2025-01-13T00:00:00"/>
    <s v="M"/>
    <x v="0"/>
    <x v="1"/>
    <x v="0"/>
    <x v="3"/>
    <n v="0"/>
    <x v="2"/>
    <x v="1"/>
  </r>
  <r>
    <s v="TX500306"/>
    <x v="1"/>
    <x v="0"/>
    <n v="55.2"/>
    <n v="55.2"/>
    <x v="12"/>
    <d v="2025-01-14T00:00:00"/>
    <s v="F"/>
    <x v="0"/>
    <x v="1"/>
    <x v="0"/>
    <x v="3"/>
    <n v="1"/>
    <x v="2"/>
    <x v="2"/>
  </r>
  <r>
    <s v="TX500307"/>
    <x v="18"/>
    <x v="2"/>
    <n v="26"/>
    <n v="78"/>
    <x v="12"/>
    <d v="2025-01-16T00:00:00"/>
    <s v="F"/>
    <x v="0"/>
    <x v="2"/>
    <x v="0"/>
    <x v="3"/>
    <n v="3"/>
    <x v="2"/>
    <x v="2"/>
  </r>
  <r>
    <s v="TX500308"/>
    <x v="14"/>
    <x v="1"/>
    <n v="14.2"/>
    <n v="28.4"/>
    <x v="12"/>
    <d v="2025-01-18T00:00:00"/>
    <s v="F"/>
    <x v="3"/>
    <x v="0"/>
    <x v="0"/>
    <x v="39"/>
    <n v="5"/>
    <x v="2"/>
    <x v="2"/>
  </r>
  <r>
    <s v="TX500309"/>
    <x v="8"/>
    <x v="11"/>
    <n v="22.7"/>
    <n v="204.29999999999998"/>
    <x v="13"/>
    <d v="2025-01-15T00:00:00"/>
    <s v="M"/>
    <x v="1"/>
    <x v="0"/>
    <x v="0"/>
    <x v="6"/>
    <n v="1"/>
    <x v="2"/>
    <x v="1"/>
  </r>
  <r>
    <s v="TX500310"/>
    <x v="0"/>
    <x v="20"/>
    <n v="19.8"/>
    <n v="297"/>
    <x v="13"/>
    <d v="2025-01-14T00:00:00"/>
    <s v="F"/>
    <x v="0"/>
    <x v="2"/>
    <x v="0"/>
    <x v="6"/>
    <n v="0"/>
    <x v="2"/>
    <x v="2"/>
  </r>
  <r>
    <s v="TX500311"/>
    <x v="0"/>
    <x v="2"/>
    <n v="31.7"/>
    <n v="95.1"/>
    <x v="13"/>
    <d v="2025-01-15T00:00:00"/>
    <s v="M"/>
    <x v="2"/>
    <x v="0"/>
    <x v="0"/>
    <x v="6"/>
    <n v="1"/>
    <x v="2"/>
    <x v="1"/>
  </r>
  <r>
    <s v="TX500312"/>
    <x v="8"/>
    <x v="12"/>
    <n v="30.4"/>
    <n v="121.6"/>
    <x v="13"/>
    <d v="2025-01-18T00:00:00"/>
    <s v="M"/>
    <x v="0"/>
    <x v="0"/>
    <x v="0"/>
    <x v="6"/>
    <n v="4"/>
    <x v="2"/>
    <x v="1"/>
  </r>
  <r>
    <s v="TX500313"/>
    <x v="0"/>
    <x v="12"/>
    <n v="25.6"/>
    <n v="102.4"/>
    <x v="13"/>
    <d v="2025-01-15T00:00:00"/>
    <s v="M"/>
    <x v="3"/>
    <x v="0"/>
    <x v="0"/>
    <x v="8"/>
    <n v="1"/>
    <x v="2"/>
    <x v="1"/>
  </r>
  <r>
    <s v="TX500314"/>
    <x v="5"/>
    <x v="1"/>
    <n v="34.9"/>
    <n v="69.8"/>
    <x v="13"/>
    <d v="2025-01-15T00:00:00"/>
    <s v="F"/>
    <x v="2"/>
    <x v="0"/>
    <x v="0"/>
    <x v="9"/>
    <n v="1"/>
    <x v="2"/>
    <x v="2"/>
  </r>
  <r>
    <s v="TX500315"/>
    <x v="7"/>
    <x v="13"/>
    <n v="42.7"/>
    <n v="256.20000000000005"/>
    <x v="13"/>
    <d v="2025-01-17T00:00:00"/>
    <s v="M"/>
    <x v="2"/>
    <x v="1"/>
    <x v="0"/>
    <x v="11"/>
    <n v="3"/>
    <x v="2"/>
    <x v="1"/>
  </r>
  <r>
    <s v="TX500316"/>
    <x v="8"/>
    <x v="0"/>
    <n v="23.9"/>
    <n v="23.9"/>
    <x v="13"/>
    <d v="2025-01-16T00:00:00"/>
    <s v="F"/>
    <x v="3"/>
    <x v="0"/>
    <x v="0"/>
    <x v="11"/>
    <n v="2"/>
    <x v="2"/>
    <x v="2"/>
  </r>
  <r>
    <s v="TX500317"/>
    <x v="6"/>
    <x v="0"/>
    <n v="124.3"/>
    <n v="124.3"/>
    <x v="13"/>
    <d v="2025-01-15T00:00:00"/>
    <s v=""/>
    <x v="2"/>
    <x v="1"/>
    <x v="0"/>
    <x v="21"/>
    <n v="1"/>
    <x v="2"/>
    <x v="0"/>
  </r>
  <r>
    <s v="TX500318"/>
    <x v="8"/>
    <x v="13"/>
    <n v="35.9"/>
    <n v="215.39999999999998"/>
    <x v="13"/>
    <d v="2025-01-15T00:00:00"/>
    <s v="F"/>
    <x v="0"/>
    <x v="1"/>
    <x v="0"/>
    <x v="1"/>
    <n v="1"/>
    <x v="2"/>
    <x v="2"/>
  </r>
  <r>
    <s v="TX500319"/>
    <x v="2"/>
    <x v="1"/>
    <n v="69.099999999999994"/>
    <n v="138.19999999999999"/>
    <x v="13"/>
    <d v="2025-01-17T00:00:00"/>
    <s v="F"/>
    <x v="0"/>
    <x v="2"/>
    <x v="0"/>
    <x v="22"/>
    <n v="3"/>
    <x v="2"/>
    <x v="2"/>
  </r>
  <r>
    <s v="TX500320"/>
    <x v="7"/>
    <x v="0"/>
    <n v="58.4"/>
    <n v="58.4"/>
    <x v="13"/>
    <d v="2025-01-18T00:00:00"/>
    <s v="M"/>
    <x v="0"/>
    <x v="0"/>
    <x v="0"/>
    <x v="22"/>
    <n v="4"/>
    <x v="2"/>
    <x v="1"/>
  </r>
  <r>
    <s v="TX500321"/>
    <x v="5"/>
    <x v="0"/>
    <n v="65.2"/>
    <n v="65.2"/>
    <x v="13"/>
    <d v="2025-01-16T00:00:00"/>
    <s v="O"/>
    <x v="4"/>
    <x v="4"/>
    <x v="0"/>
    <x v="3"/>
    <n v="2"/>
    <x v="2"/>
    <x v="3"/>
  </r>
  <r>
    <s v="TX500322"/>
    <x v="8"/>
    <x v="14"/>
    <n v="32.700000000000003"/>
    <n v="555.90000000000009"/>
    <x v="13"/>
    <d v="2025-01-21T00:00:00"/>
    <s v=""/>
    <x v="4"/>
    <x v="0"/>
    <x v="0"/>
    <x v="3"/>
    <n v="7"/>
    <x v="2"/>
    <x v="0"/>
  </r>
  <r>
    <s v="TX500323"/>
    <x v="10"/>
    <x v="3"/>
    <n v="24.4"/>
    <n v="170.79999999999998"/>
    <x v="13"/>
    <d v="2025-01-15T00:00:00"/>
    <s v="F"/>
    <x v="0"/>
    <x v="0"/>
    <x v="0"/>
    <x v="3"/>
    <n v="1"/>
    <x v="2"/>
    <x v="2"/>
  </r>
  <r>
    <s v="TX500324"/>
    <x v="14"/>
    <x v="1"/>
    <n v="50.4"/>
    <n v="100.8"/>
    <x v="13"/>
    <d v="2025-01-20T00:00:00"/>
    <s v="M"/>
    <x v="0"/>
    <x v="1"/>
    <x v="0"/>
    <x v="3"/>
    <n v="6"/>
    <x v="2"/>
    <x v="1"/>
  </r>
  <r>
    <s v="TX500325"/>
    <x v="1"/>
    <x v="1"/>
    <n v="100"/>
    <n v="200"/>
    <x v="13"/>
    <d v="2025-01-15T00:00:00"/>
    <s v="F"/>
    <x v="0"/>
    <x v="0"/>
    <x v="0"/>
    <x v="3"/>
    <n v="1"/>
    <x v="2"/>
    <x v="2"/>
  </r>
  <r>
    <s v="TX500326"/>
    <x v="10"/>
    <x v="2"/>
    <n v="43"/>
    <n v="129"/>
    <x v="14"/>
    <d v="2025-01-15T00:00:00"/>
    <s v="F"/>
    <x v="2"/>
    <x v="1"/>
    <x v="0"/>
    <x v="3"/>
    <n v="0"/>
    <x v="2"/>
    <x v="2"/>
  </r>
  <r>
    <s v="TX500327"/>
    <x v="1"/>
    <x v="9"/>
    <n v="64.400000000000006"/>
    <n v="322"/>
    <x v="14"/>
    <d v="2025-01-17T00:00:00"/>
    <s v="M"/>
    <x v="2"/>
    <x v="1"/>
    <x v="0"/>
    <x v="3"/>
    <n v="2"/>
    <x v="2"/>
    <x v="1"/>
  </r>
  <r>
    <s v="TX500328"/>
    <x v="18"/>
    <x v="1"/>
    <n v="57.4"/>
    <n v="114.8"/>
    <x v="14"/>
    <d v="2025-01-16T00:00:00"/>
    <s v="M"/>
    <x v="2"/>
    <x v="1"/>
    <x v="0"/>
    <x v="3"/>
    <n v="1"/>
    <x v="2"/>
    <x v="1"/>
  </r>
  <r>
    <s v="TX500329"/>
    <x v="2"/>
    <x v="2"/>
    <n v="55.1"/>
    <n v="165.3"/>
    <x v="14"/>
    <d v="2025-01-18T00:00:00"/>
    <s v="F"/>
    <x v="1"/>
    <x v="0"/>
    <x v="0"/>
    <x v="3"/>
    <n v="3"/>
    <x v="2"/>
    <x v="2"/>
  </r>
  <r>
    <s v="TX500330"/>
    <x v="7"/>
    <x v="12"/>
    <n v="45.4"/>
    <n v="181.6"/>
    <x v="14"/>
    <d v="2025-01-16T00:00:00"/>
    <s v="F"/>
    <x v="1"/>
    <x v="0"/>
    <x v="0"/>
    <x v="3"/>
    <n v="1"/>
    <x v="2"/>
    <x v="2"/>
  </r>
  <r>
    <s v="TX500331"/>
    <x v="3"/>
    <x v="2"/>
    <n v="93.3"/>
    <n v="279.89999999999998"/>
    <x v="14"/>
    <d v="2025-01-16T00:00:00"/>
    <s v="F"/>
    <x v="0"/>
    <x v="0"/>
    <x v="0"/>
    <x v="40"/>
    <n v="1"/>
    <x v="2"/>
    <x v="2"/>
  </r>
  <r>
    <s v="TX500332"/>
    <x v="2"/>
    <x v="10"/>
    <n v="158.19999999999999"/>
    <n v="3005.7999999999997"/>
    <x v="14"/>
    <d v="2025-01-16T00:00:00"/>
    <s v="F"/>
    <x v="1"/>
    <x v="2"/>
    <x v="0"/>
    <x v="16"/>
    <n v="1"/>
    <x v="2"/>
    <x v="2"/>
  </r>
  <r>
    <s v="TX500333"/>
    <x v="2"/>
    <x v="1"/>
    <n v="74.900000000000006"/>
    <n v="149.80000000000001"/>
    <x v="14"/>
    <d v="2025-01-17T00:00:00"/>
    <s v="M"/>
    <x v="3"/>
    <x v="0"/>
    <x v="0"/>
    <x v="6"/>
    <n v="2"/>
    <x v="2"/>
    <x v="1"/>
  </r>
  <r>
    <s v="TX500334"/>
    <x v="8"/>
    <x v="3"/>
    <n v="26"/>
    <n v="182"/>
    <x v="14"/>
    <d v="2025-01-18T00:00:00"/>
    <s v="F"/>
    <x v="1"/>
    <x v="0"/>
    <x v="0"/>
    <x v="8"/>
    <n v="3"/>
    <x v="2"/>
    <x v="2"/>
  </r>
  <r>
    <s v="TX500335"/>
    <x v="9"/>
    <x v="13"/>
    <n v="37.5"/>
    <n v="225"/>
    <x v="14"/>
    <d v="2025-01-16T00:00:00"/>
    <s v="F"/>
    <x v="0"/>
    <x v="1"/>
    <x v="0"/>
    <x v="8"/>
    <n v="1"/>
    <x v="2"/>
    <x v="2"/>
  </r>
  <r>
    <s v="TX500336"/>
    <x v="6"/>
    <x v="1"/>
    <n v="75.8"/>
    <n v="151.6"/>
    <x v="14"/>
    <d v="2025-01-21T00:00:00"/>
    <s v="M"/>
    <x v="0"/>
    <x v="0"/>
    <x v="0"/>
    <x v="8"/>
    <n v="6"/>
    <x v="2"/>
    <x v="1"/>
  </r>
  <r>
    <s v="TX500337"/>
    <x v="7"/>
    <x v="0"/>
    <n v="48.5"/>
    <n v="48.5"/>
    <x v="14"/>
    <d v="2025-01-27T00:00:00"/>
    <s v=""/>
    <x v="4"/>
    <x v="2"/>
    <x v="0"/>
    <x v="8"/>
    <n v="12"/>
    <x v="2"/>
    <x v="0"/>
  </r>
  <r>
    <s v="TX500338"/>
    <x v="6"/>
    <x v="2"/>
    <n v="98.9"/>
    <n v="296.70000000000005"/>
    <x v="14"/>
    <d v="2025-01-17T00:00:00"/>
    <s v="F"/>
    <x v="4"/>
    <x v="1"/>
    <x v="0"/>
    <x v="8"/>
    <n v="2"/>
    <x v="2"/>
    <x v="2"/>
  </r>
  <r>
    <s v="TX500339"/>
    <x v="1"/>
    <x v="4"/>
    <n v="50.9"/>
    <n v="610.79999999999995"/>
    <x v="14"/>
    <d v="2025-01-15T00:00:00"/>
    <s v="M"/>
    <x v="4"/>
    <x v="0"/>
    <x v="0"/>
    <x v="8"/>
    <n v="0"/>
    <x v="2"/>
    <x v="1"/>
  </r>
  <r>
    <s v="TX500340"/>
    <x v="12"/>
    <x v="13"/>
    <n v="84.7"/>
    <n v="508.20000000000005"/>
    <x v="14"/>
    <d v="2025-01-15T00:00:00"/>
    <s v="F"/>
    <x v="2"/>
    <x v="0"/>
    <x v="0"/>
    <x v="8"/>
    <n v="0"/>
    <x v="2"/>
    <x v="2"/>
  </r>
  <r>
    <s v="TX500341"/>
    <x v="8"/>
    <x v="0"/>
    <n v="20.7"/>
    <n v="20.7"/>
    <x v="14"/>
    <d v="2025-01-17T00:00:00"/>
    <s v="F"/>
    <x v="3"/>
    <x v="2"/>
    <x v="0"/>
    <x v="8"/>
    <n v="2"/>
    <x v="2"/>
    <x v="2"/>
  </r>
  <r>
    <s v="TX500342"/>
    <x v="12"/>
    <x v="11"/>
    <n v="57.8"/>
    <n v="520.19999999999993"/>
    <x v="14"/>
    <d v="2025-01-26T00:00:00"/>
    <s v="M"/>
    <x v="0"/>
    <x v="4"/>
    <x v="0"/>
    <x v="17"/>
    <n v="11"/>
    <x v="2"/>
    <x v="1"/>
  </r>
  <r>
    <s v="TX500343"/>
    <x v="2"/>
    <x v="1"/>
    <n v="106.9"/>
    <n v="213.8"/>
    <x v="14"/>
    <d v="2025-01-17T00:00:00"/>
    <s v="F"/>
    <x v="0"/>
    <x v="2"/>
    <x v="0"/>
    <x v="41"/>
    <n v="2"/>
    <x v="2"/>
    <x v="2"/>
  </r>
  <r>
    <s v="TX500344"/>
    <x v="3"/>
    <x v="9"/>
    <n v="45.2"/>
    <n v="226"/>
    <x v="14"/>
    <d v="2025-01-19T00:00:00"/>
    <s v="F"/>
    <x v="1"/>
    <x v="0"/>
    <x v="0"/>
    <x v="21"/>
    <n v="4"/>
    <x v="2"/>
    <x v="2"/>
  </r>
  <r>
    <s v="TX500345"/>
    <x v="8"/>
    <x v="15"/>
    <n v="34.6"/>
    <n v="449.8"/>
    <x v="14"/>
    <d v="2025-01-15T00:00:00"/>
    <s v="F"/>
    <x v="1"/>
    <x v="1"/>
    <x v="0"/>
    <x v="21"/>
    <n v="0"/>
    <x v="2"/>
    <x v="2"/>
  </r>
  <r>
    <s v="TX500346"/>
    <x v="15"/>
    <x v="0"/>
    <n v="43.8"/>
    <n v="43.8"/>
    <x v="14"/>
    <d v="2025-01-17T00:00:00"/>
    <s v=""/>
    <x v="0"/>
    <x v="2"/>
    <x v="0"/>
    <x v="21"/>
    <n v="2"/>
    <x v="2"/>
    <x v="0"/>
  </r>
  <r>
    <s v="TX500347"/>
    <x v="15"/>
    <x v="0"/>
    <n v="20.399999999999999"/>
    <n v="20.399999999999999"/>
    <x v="14"/>
    <d v="2025-01-17T00:00:00"/>
    <s v="M"/>
    <x v="4"/>
    <x v="1"/>
    <x v="0"/>
    <x v="21"/>
    <n v="2"/>
    <x v="2"/>
    <x v="1"/>
  </r>
  <r>
    <s v="TX500348"/>
    <x v="1"/>
    <x v="0"/>
    <n v="36.700000000000003"/>
    <n v="36.700000000000003"/>
    <x v="14"/>
    <d v="2025-01-16T00:00:00"/>
    <s v="M"/>
    <x v="0"/>
    <x v="1"/>
    <x v="0"/>
    <x v="1"/>
    <n v="1"/>
    <x v="2"/>
    <x v="1"/>
  </r>
  <r>
    <s v="TX500349"/>
    <x v="8"/>
    <x v="2"/>
    <n v="27.2"/>
    <n v="81.599999999999994"/>
    <x v="14"/>
    <d v="2025-01-19T00:00:00"/>
    <s v="M"/>
    <x v="0"/>
    <x v="2"/>
    <x v="0"/>
    <x v="1"/>
    <n v="4"/>
    <x v="2"/>
    <x v="1"/>
  </r>
  <r>
    <s v="TX500350"/>
    <x v="6"/>
    <x v="0"/>
    <n v="58.2"/>
    <n v="58.2"/>
    <x v="14"/>
    <d v="2025-01-16T00:00:00"/>
    <s v="F"/>
    <x v="0"/>
    <x v="2"/>
    <x v="0"/>
    <x v="42"/>
    <n v="1"/>
    <x v="2"/>
    <x v="2"/>
  </r>
  <r>
    <s v="TX500351"/>
    <x v="8"/>
    <x v="2"/>
    <n v="25.6"/>
    <n v="76.800000000000011"/>
    <x v="14"/>
    <d v="2025-01-16T00:00:00"/>
    <s v="M"/>
    <x v="4"/>
    <x v="4"/>
    <x v="0"/>
    <x v="2"/>
    <n v="1"/>
    <x v="2"/>
    <x v="1"/>
  </r>
  <r>
    <s v="TX500352"/>
    <x v="10"/>
    <x v="0"/>
    <n v="21.2"/>
    <n v="21.2"/>
    <x v="14"/>
    <d v="2025-01-15T00:00:00"/>
    <s v="F"/>
    <x v="1"/>
    <x v="2"/>
    <x v="0"/>
    <x v="3"/>
    <n v="0"/>
    <x v="2"/>
    <x v="2"/>
  </r>
  <r>
    <s v="TX500353"/>
    <x v="6"/>
    <x v="1"/>
    <n v="48.2"/>
    <n v="96.4"/>
    <x v="14"/>
    <d v="2025-01-23T00:00:00"/>
    <s v="F"/>
    <x v="0"/>
    <x v="2"/>
    <x v="0"/>
    <x v="3"/>
    <n v="8"/>
    <x v="2"/>
    <x v="2"/>
  </r>
  <r>
    <s v="TX500354"/>
    <x v="1"/>
    <x v="12"/>
    <n v="83.4"/>
    <n v="333.6"/>
    <x v="15"/>
    <d v="2025-01-17T00:00:00"/>
    <s v="M"/>
    <x v="0"/>
    <x v="0"/>
    <x v="0"/>
    <x v="3"/>
    <n v="1"/>
    <x v="2"/>
    <x v="1"/>
  </r>
  <r>
    <s v="TX500355"/>
    <x v="9"/>
    <x v="2"/>
    <n v="45.3"/>
    <n v="135.89999999999998"/>
    <x v="15"/>
    <d v="2025-01-22T00:00:00"/>
    <s v="M"/>
    <x v="2"/>
    <x v="1"/>
    <x v="0"/>
    <x v="3"/>
    <n v="6"/>
    <x v="2"/>
    <x v="1"/>
  </r>
  <r>
    <s v="TX500356"/>
    <x v="17"/>
    <x v="0"/>
    <n v="42"/>
    <n v="42"/>
    <x v="15"/>
    <d v="2025-01-17T00:00:00"/>
    <s v=""/>
    <x v="0"/>
    <x v="0"/>
    <x v="0"/>
    <x v="3"/>
    <n v="1"/>
    <x v="2"/>
    <x v="0"/>
  </r>
  <r>
    <s v="TX500357"/>
    <x v="0"/>
    <x v="11"/>
    <n v="21.8"/>
    <n v="196.20000000000002"/>
    <x v="15"/>
    <d v="2025-01-18T00:00:00"/>
    <s v="F"/>
    <x v="1"/>
    <x v="0"/>
    <x v="0"/>
    <x v="3"/>
    <n v="2"/>
    <x v="2"/>
    <x v="2"/>
  </r>
  <r>
    <s v="TX500358"/>
    <x v="8"/>
    <x v="16"/>
    <n v="21.4"/>
    <n v="385.2"/>
    <x v="15"/>
    <d v="2025-01-19T00:00:00"/>
    <s v="F"/>
    <x v="1"/>
    <x v="2"/>
    <x v="0"/>
    <x v="3"/>
    <n v="3"/>
    <x v="2"/>
    <x v="2"/>
  </r>
  <r>
    <s v="TX500359"/>
    <x v="10"/>
    <x v="2"/>
    <n v="45"/>
    <n v="135"/>
    <x v="15"/>
    <d v="2025-01-16T00:00:00"/>
    <s v="F"/>
    <x v="1"/>
    <x v="2"/>
    <x v="0"/>
    <x v="3"/>
    <n v="0"/>
    <x v="2"/>
    <x v="2"/>
  </r>
  <r>
    <s v="TX500360"/>
    <x v="14"/>
    <x v="0"/>
    <n v="39.6"/>
    <n v="39.6"/>
    <x v="15"/>
    <d v="2025-01-17T00:00:00"/>
    <s v="M"/>
    <x v="0"/>
    <x v="2"/>
    <x v="0"/>
    <x v="3"/>
    <n v="1"/>
    <x v="2"/>
    <x v="1"/>
  </r>
  <r>
    <s v="TX500361"/>
    <x v="12"/>
    <x v="2"/>
    <n v="79.8"/>
    <n v="239.39999999999998"/>
    <x v="15"/>
    <d v="2025-01-22T00:00:00"/>
    <s v="F"/>
    <x v="1"/>
    <x v="4"/>
    <x v="0"/>
    <x v="3"/>
    <n v="6"/>
    <x v="2"/>
    <x v="2"/>
  </r>
  <r>
    <s v="TX500362"/>
    <x v="1"/>
    <x v="12"/>
    <n v="63.6"/>
    <n v="254.4"/>
    <x v="15"/>
    <d v="2025-01-17T00:00:00"/>
    <s v="O"/>
    <x v="0"/>
    <x v="2"/>
    <x v="0"/>
    <x v="24"/>
    <n v="1"/>
    <x v="2"/>
    <x v="3"/>
  </r>
  <r>
    <s v="TX500363"/>
    <x v="7"/>
    <x v="7"/>
    <n v="92.7"/>
    <n v="927"/>
    <x v="15"/>
    <d v="2025-01-20T00:00:00"/>
    <s v="M"/>
    <x v="1"/>
    <x v="2"/>
    <x v="0"/>
    <x v="6"/>
    <n v="4"/>
    <x v="2"/>
    <x v="1"/>
  </r>
  <r>
    <s v="TX500364"/>
    <x v="1"/>
    <x v="12"/>
    <n v="48.4"/>
    <n v="193.6"/>
    <x v="15"/>
    <d v="2025-01-18T00:00:00"/>
    <s v="F"/>
    <x v="1"/>
    <x v="2"/>
    <x v="0"/>
    <x v="6"/>
    <n v="2"/>
    <x v="2"/>
    <x v="2"/>
  </r>
  <r>
    <s v="TX500365"/>
    <x v="9"/>
    <x v="8"/>
    <n v="36"/>
    <n v="288"/>
    <x v="15"/>
    <d v="2025-01-19T00:00:00"/>
    <s v="M"/>
    <x v="2"/>
    <x v="2"/>
    <x v="0"/>
    <x v="8"/>
    <n v="3"/>
    <x v="2"/>
    <x v="1"/>
  </r>
  <r>
    <s v="TX500366"/>
    <x v="8"/>
    <x v="4"/>
    <n v="27"/>
    <n v="324"/>
    <x v="15"/>
    <d v="2025-01-18T00:00:00"/>
    <s v="F"/>
    <x v="2"/>
    <x v="1"/>
    <x v="0"/>
    <x v="8"/>
    <n v="2"/>
    <x v="2"/>
    <x v="2"/>
  </r>
  <r>
    <s v="TX500367"/>
    <x v="2"/>
    <x v="8"/>
    <n v="53.9"/>
    <n v="431.2"/>
    <x v="15"/>
    <d v="2025-01-17T00:00:00"/>
    <s v=""/>
    <x v="0"/>
    <x v="0"/>
    <x v="0"/>
    <x v="8"/>
    <n v="1"/>
    <x v="2"/>
    <x v="0"/>
  </r>
  <r>
    <s v="TX500368"/>
    <x v="3"/>
    <x v="11"/>
    <n v="48.4"/>
    <n v="435.59999999999997"/>
    <x v="15"/>
    <d v="2025-01-17T00:00:00"/>
    <s v="F"/>
    <x v="1"/>
    <x v="0"/>
    <x v="0"/>
    <x v="9"/>
    <n v="1"/>
    <x v="2"/>
    <x v="2"/>
  </r>
  <r>
    <s v="TX500369"/>
    <x v="17"/>
    <x v="1"/>
    <n v="49.9"/>
    <n v="99.8"/>
    <x v="15"/>
    <d v="2025-01-21T00:00:00"/>
    <s v="M"/>
    <x v="4"/>
    <x v="4"/>
    <x v="0"/>
    <x v="10"/>
    <n v="5"/>
    <x v="2"/>
    <x v="1"/>
  </r>
  <r>
    <s v="TX500370"/>
    <x v="1"/>
    <x v="2"/>
    <n v="51.7"/>
    <n v="155.10000000000002"/>
    <x v="15"/>
    <d v="2025-01-17T00:00:00"/>
    <s v="F"/>
    <x v="0"/>
    <x v="2"/>
    <x v="0"/>
    <x v="11"/>
    <n v="1"/>
    <x v="2"/>
    <x v="2"/>
  </r>
  <r>
    <s v="TX500371"/>
    <x v="8"/>
    <x v="2"/>
    <n v="41.8"/>
    <n v="125.39999999999999"/>
    <x v="15"/>
    <d v="2025-01-18T00:00:00"/>
    <s v="F"/>
    <x v="2"/>
    <x v="0"/>
    <x v="0"/>
    <x v="18"/>
    <n v="2"/>
    <x v="2"/>
    <x v="2"/>
  </r>
  <r>
    <s v="TX500372"/>
    <x v="4"/>
    <x v="12"/>
    <n v="36.200000000000003"/>
    <n v="144.80000000000001"/>
    <x v="16"/>
    <d v="2025-01-18T00:00:00"/>
    <s v="M"/>
    <x v="2"/>
    <x v="2"/>
    <x v="0"/>
    <x v="21"/>
    <n v="1"/>
    <x v="2"/>
    <x v="1"/>
  </r>
  <r>
    <s v="TX500373"/>
    <x v="2"/>
    <x v="0"/>
    <n v="150.9"/>
    <n v="150.9"/>
    <x v="16"/>
    <d v="2025-01-27T00:00:00"/>
    <s v="M"/>
    <x v="0"/>
    <x v="0"/>
    <x v="0"/>
    <x v="1"/>
    <n v="10"/>
    <x v="2"/>
    <x v="1"/>
  </r>
  <r>
    <s v="TX500374"/>
    <x v="18"/>
    <x v="12"/>
    <n v="77.599999999999994"/>
    <n v="310.39999999999998"/>
    <x v="16"/>
    <d v="2025-01-18T00:00:00"/>
    <s v=""/>
    <x v="2"/>
    <x v="0"/>
    <x v="0"/>
    <x v="3"/>
    <n v="1"/>
    <x v="2"/>
    <x v="0"/>
  </r>
  <r>
    <s v="TX500375"/>
    <x v="13"/>
    <x v="9"/>
    <n v="65.5"/>
    <n v="327.5"/>
    <x v="16"/>
    <d v="2025-01-17T00:00:00"/>
    <s v="M"/>
    <x v="1"/>
    <x v="0"/>
    <x v="0"/>
    <x v="3"/>
    <n v="0"/>
    <x v="2"/>
    <x v="1"/>
  </r>
  <r>
    <s v="TX500376"/>
    <x v="6"/>
    <x v="2"/>
    <n v="90.1"/>
    <n v="270.29999999999995"/>
    <x v="16"/>
    <d v="2025-01-19T00:00:00"/>
    <s v="F"/>
    <x v="0"/>
    <x v="0"/>
    <x v="0"/>
    <x v="3"/>
    <n v="2"/>
    <x v="2"/>
    <x v="2"/>
  </r>
  <r>
    <s v="TX500377"/>
    <x v="1"/>
    <x v="1"/>
    <n v="108.3"/>
    <n v="216.6"/>
    <x v="16"/>
    <d v="2025-01-20T00:00:00"/>
    <s v="O"/>
    <x v="4"/>
    <x v="0"/>
    <x v="0"/>
    <x v="3"/>
    <n v="3"/>
    <x v="2"/>
    <x v="3"/>
  </r>
  <r>
    <s v="TX500378"/>
    <x v="5"/>
    <x v="2"/>
    <n v="59.9"/>
    <n v="179.7"/>
    <x v="16"/>
    <d v="2025-01-21T00:00:00"/>
    <s v="F"/>
    <x v="0"/>
    <x v="0"/>
    <x v="0"/>
    <x v="3"/>
    <n v="4"/>
    <x v="2"/>
    <x v="2"/>
  </r>
  <r>
    <s v="TX500379"/>
    <x v="2"/>
    <x v="14"/>
    <n v="139"/>
    <n v="2363"/>
    <x v="16"/>
    <d v="2025-01-19T00:00:00"/>
    <s v="F"/>
    <x v="1"/>
    <x v="4"/>
    <x v="0"/>
    <x v="3"/>
    <n v="2"/>
    <x v="2"/>
    <x v="2"/>
  </r>
  <r>
    <s v="TX500380"/>
    <x v="6"/>
    <x v="2"/>
    <n v="87.3"/>
    <n v="261.89999999999998"/>
    <x v="16"/>
    <d v="2025-01-18T00:00:00"/>
    <s v="F"/>
    <x v="0"/>
    <x v="0"/>
    <x v="0"/>
    <x v="3"/>
    <n v="1"/>
    <x v="2"/>
    <x v="2"/>
  </r>
  <r>
    <s v="TX500381"/>
    <x v="11"/>
    <x v="12"/>
    <n v="42.3"/>
    <n v="169.2"/>
    <x v="16"/>
    <d v="2025-01-17T00:00:00"/>
    <s v="M"/>
    <x v="0"/>
    <x v="0"/>
    <x v="0"/>
    <x v="3"/>
    <n v="0"/>
    <x v="2"/>
    <x v="1"/>
  </r>
  <r>
    <s v="TX500382"/>
    <x v="14"/>
    <x v="8"/>
    <n v="103.6"/>
    <n v="828.8"/>
    <x v="16"/>
    <d v="2025-01-18T00:00:00"/>
    <s v="O"/>
    <x v="0"/>
    <x v="1"/>
    <x v="0"/>
    <x v="3"/>
    <n v="1"/>
    <x v="2"/>
    <x v="3"/>
  </r>
  <r>
    <s v="TX500383"/>
    <x v="6"/>
    <x v="1"/>
    <n v="90.9"/>
    <n v="181.8"/>
    <x v="16"/>
    <d v="2025-01-18T00:00:00"/>
    <s v="M"/>
    <x v="1"/>
    <x v="0"/>
    <x v="0"/>
    <x v="6"/>
    <n v="1"/>
    <x v="2"/>
    <x v="1"/>
  </r>
  <r>
    <s v="TX500384"/>
    <x v="9"/>
    <x v="27"/>
    <n v="100.9"/>
    <n v="1614.4"/>
    <x v="16"/>
    <d v="2025-01-18T00:00:00"/>
    <s v="F"/>
    <x v="1"/>
    <x v="0"/>
    <x v="0"/>
    <x v="6"/>
    <n v="1"/>
    <x v="2"/>
    <x v="2"/>
  </r>
  <r>
    <s v="TX500385"/>
    <x v="4"/>
    <x v="9"/>
    <n v="36"/>
    <n v="180"/>
    <x v="16"/>
    <d v="2025-01-19T00:00:00"/>
    <s v="F"/>
    <x v="1"/>
    <x v="0"/>
    <x v="0"/>
    <x v="7"/>
    <n v="2"/>
    <x v="2"/>
    <x v="2"/>
  </r>
  <r>
    <s v="TX500386"/>
    <x v="6"/>
    <x v="13"/>
    <n v="83.3"/>
    <n v="499.79999999999995"/>
    <x v="16"/>
    <d v="2025-01-20T00:00:00"/>
    <s v=""/>
    <x v="2"/>
    <x v="0"/>
    <x v="0"/>
    <x v="7"/>
    <n v="3"/>
    <x v="2"/>
    <x v="0"/>
  </r>
  <r>
    <s v="TX500387"/>
    <x v="2"/>
    <x v="14"/>
    <n v="60.3"/>
    <n v="1025.0999999999999"/>
    <x v="16"/>
    <d v="2025-01-18T00:00:00"/>
    <s v="M"/>
    <x v="2"/>
    <x v="1"/>
    <x v="0"/>
    <x v="7"/>
    <n v="1"/>
    <x v="2"/>
    <x v="1"/>
  </r>
  <r>
    <s v="TX500388"/>
    <x v="2"/>
    <x v="13"/>
    <n v="120.3"/>
    <n v="721.8"/>
    <x v="16"/>
    <d v="2025-01-18T00:00:00"/>
    <s v="M"/>
    <x v="2"/>
    <x v="0"/>
    <x v="0"/>
    <x v="8"/>
    <n v="1"/>
    <x v="2"/>
    <x v="1"/>
  </r>
  <r>
    <s v="TX500389"/>
    <x v="4"/>
    <x v="7"/>
    <n v="34"/>
    <n v="340"/>
    <x v="16"/>
    <d v="2025-01-21T00:00:00"/>
    <s v="F"/>
    <x v="2"/>
    <x v="0"/>
    <x v="0"/>
    <x v="8"/>
    <n v="4"/>
    <x v="2"/>
    <x v="2"/>
  </r>
  <r>
    <s v="TX500390"/>
    <x v="10"/>
    <x v="9"/>
    <n v="42.6"/>
    <n v="213"/>
    <x v="16"/>
    <d v="2025-01-20T00:00:00"/>
    <s v="M"/>
    <x v="1"/>
    <x v="0"/>
    <x v="0"/>
    <x v="8"/>
    <n v="3"/>
    <x v="2"/>
    <x v="1"/>
  </r>
  <r>
    <s v="TX500391"/>
    <x v="5"/>
    <x v="28"/>
    <n v="47.4"/>
    <n v="948"/>
    <x v="16"/>
    <d v="2025-01-17T00:00:00"/>
    <s v="F"/>
    <x v="2"/>
    <x v="1"/>
    <x v="0"/>
    <x v="17"/>
    <n v="0"/>
    <x v="2"/>
    <x v="2"/>
  </r>
  <r>
    <s v="TX500392"/>
    <x v="2"/>
    <x v="0"/>
    <n v="74"/>
    <n v="74"/>
    <x v="17"/>
    <d v="2025-01-19T00:00:00"/>
    <s v="M"/>
    <x v="1"/>
    <x v="0"/>
    <x v="0"/>
    <x v="11"/>
    <n v="1"/>
    <x v="2"/>
    <x v="1"/>
  </r>
  <r>
    <s v="TX500393"/>
    <x v="2"/>
    <x v="9"/>
    <n v="60.4"/>
    <n v="302"/>
    <x v="17"/>
    <d v="2025-01-21T00:00:00"/>
    <s v="F"/>
    <x v="1"/>
    <x v="4"/>
    <x v="0"/>
    <x v="18"/>
    <n v="3"/>
    <x v="2"/>
    <x v="2"/>
  </r>
  <r>
    <s v="TX500394"/>
    <x v="12"/>
    <x v="1"/>
    <n v="69.3"/>
    <n v="138.6"/>
    <x v="17"/>
    <d v="2025-01-21T00:00:00"/>
    <s v="M"/>
    <x v="1"/>
    <x v="1"/>
    <x v="0"/>
    <x v="13"/>
    <n v="3"/>
    <x v="2"/>
    <x v="1"/>
  </r>
  <r>
    <s v="TX500395"/>
    <x v="5"/>
    <x v="9"/>
    <n v="81"/>
    <n v="405"/>
    <x v="17"/>
    <d v="2025-01-24T00:00:00"/>
    <s v="M"/>
    <x v="3"/>
    <x v="0"/>
    <x v="0"/>
    <x v="21"/>
    <n v="6"/>
    <x v="2"/>
    <x v="1"/>
  </r>
  <r>
    <s v="TX500396"/>
    <x v="15"/>
    <x v="2"/>
    <n v="41.5"/>
    <n v="124.5"/>
    <x v="17"/>
    <d v="2025-01-20T00:00:00"/>
    <s v="O"/>
    <x v="1"/>
    <x v="0"/>
    <x v="0"/>
    <x v="21"/>
    <n v="2"/>
    <x v="2"/>
    <x v="3"/>
  </r>
  <r>
    <s v="TX500397"/>
    <x v="18"/>
    <x v="1"/>
    <n v="69.7"/>
    <n v="139.4"/>
    <x v="17"/>
    <d v="2025-01-23T00:00:00"/>
    <s v="M"/>
    <x v="1"/>
    <x v="0"/>
    <x v="0"/>
    <x v="21"/>
    <n v="5"/>
    <x v="2"/>
    <x v="1"/>
  </r>
  <r>
    <s v="TX500398"/>
    <x v="2"/>
    <x v="9"/>
    <n v="83.6"/>
    <n v="418"/>
    <x v="17"/>
    <d v="2025-01-18T00:00:00"/>
    <s v="F"/>
    <x v="4"/>
    <x v="0"/>
    <x v="0"/>
    <x v="1"/>
    <n v="0"/>
    <x v="2"/>
    <x v="2"/>
  </r>
  <r>
    <s v="TX500399"/>
    <x v="8"/>
    <x v="3"/>
    <n v="21.5"/>
    <n v="150.5"/>
    <x v="17"/>
    <d v="2025-01-20T00:00:00"/>
    <s v="M"/>
    <x v="1"/>
    <x v="4"/>
    <x v="0"/>
    <x v="34"/>
    <n v="2"/>
    <x v="2"/>
    <x v="1"/>
  </r>
  <r>
    <s v="TX500400"/>
    <x v="8"/>
    <x v="8"/>
    <n v="28.6"/>
    <n v="228.8"/>
    <x v="17"/>
    <d v="2025-01-19T00:00:00"/>
    <s v="M"/>
    <x v="0"/>
    <x v="0"/>
    <x v="0"/>
    <x v="3"/>
    <n v="1"/>
    <x v="2"/>
    <x v="1"/>
  </r>
  <r>
    <s v="TX500401"/>
    <x v="8"/>
    <x v="13"/>
    <n v="18.8"/>
    <n v="112.80000000000001"/>
    <x v="17"/>
    <d v="2025-01-21T00:00:00"/>
    <s v="M"/>
    <x v="3"/>
    <x v="2"/>
    <x v="0"/>
    <x v="3"/>
    <n v="3"/>
    <x v="2"/>
    <x v="1"/>
  </r>
  <r>
    <s v="TX500402"/>
    <x v="10"/>
    <x v="12"/>
    <n v="35.1"/>
    <n v="140.4"/>
    <x v="17"/>
    <d v="2025-01-18T00:00:00"/>
    <s v="F"/>
    <x v="1"/>
    <x v="1"/>
    <x v="0"/>
    <x v="3"/>
    <n v="0"/>
    <x v="2"/>
    <x v="2"/>
  </r>
  <r>
    <s v="TX500403"/>
    <x v="0"/>
    <x v="1"/>
    <n v="12.7"/>
    <n v="25.4"/>
    <x v="17"/>
    <d v="2025-01-20T00:00:00"/>
    <s v="F"/>
    <x v="1"/>
    <x v="2"/>
    <x v="0"/>
    <x v="3"/>
    <n v="2"/>
    <x v="2"/>
    <x v="2"/>
  </r>
  <r>
    <s v="TX500404"/>
    <x v="8"/>
    <x v="9"/>
    <n v="27.4"/>
    <n v="137"/>
    <x v="17"/>
    <d v="2025-01-20T00:00:00"/>
    <s v="O"/>
    <x v="0"/>
    <x v="0"/>
    <x v="0"/>
    <x v="3"/>
    <n v="2"/>
    <x v="2"/>
    <x v="3"/>
  </r>
  <r>
    <s v="TX500405"/>
    <x v="10"/>
    <x v="1"/>
    <n v="61.3"/>
    <n v="122.6"/>
    <x v="17"/>
    <d v="2025-01-19T00:00:00"/>
    <s v="F"/>
    <x v="1"/>
    <x v="0"/>
    <x v="0"/>
    <x v="6"/>
    <n v="1"/>
    <x v="2"/>
    <x v="2"/>
  </r>
  <r>
    <s v="TX500406"/>
    <x v="8"/>
    <x v="1"/>
    <n v="64.7"/>
    <n v="129.4"/>
    <x v="17"/>
    <d v="2025-01-20T00:00:00"/>
    <s v="F"/>
    <x v="3"/>
    <x v="2"/>
    <x v="0"/>
    <x v="6"/>
    <n v="2"/>
    <x v="2"/>
    <x v="2"/>
  </r>
  <r>
    <s v="TX500407"/>
    <x v="7"/>
    <x v="12"/>
    <n v="91.4"/>
    <n v="365.6"/>
    <x v="17"/>
    <d v="2025-01-20T00:00:00"/>
    <s v="F"/>
    <x v="0"/>
    <x v="0"/>
    <x v="0"/>
    <x v="8"/>
    <n v="2"/>
    <x v="2"/>
    <x v="2"/>
  </r>
  <r>
    <s v="TX500408"/>
    <x v="0"/>
    <x v="1"/>
    <n v="33.1"/>
    <n v="66.2"/>
    <x v="18"/>
    <d v="2025-01-20T00:00:00"/>
    <s v="M"/>
    <x v="0"/>
    <x v="2"/>
    <x v="0"/>
    <x v="8"/>
    <n v="1"/>
    <x v="3"/>
    <x v="1"/>
  </r>
  <r>
    <s v="TX500409"/>
    <x v="3"/>
    <x v="1"/>
    <n v="105.6"/>
    <n v="211.2"/>
    <x v="18"/>
    <d v="2025-01-20T00:00:00"/>
    <s v="M"/>
    <x v="2"/>
    <x v="1"/>
    <x v="0"/>
    <x v="8"/>
    <n v="1"/>
    <x v="3"/>
    <x v="1"/>
  </r>
  <r>
    <s v="TX500410"/>
    <x v="10"/>
    <x v="2"/>
    <n v="46.4"/>
    <n v="139.19999999999999"/>
    <x v="18"/>
    <d v="2025-01-20T00:00:00"/>
    <s v="M"/>
    <x v="2"/>
    <x v="0"/>
    <x v="0"/>
    <x v="9"/>
    <n v="1"/>
    <x v="3"/>
    <x v="1"/>
  </r>
  <r>
    <s v="TX500411"/>
    <x v="9"/>
    <x v="21"/>
    <n v="35.299999999999997"/>
    <n v="494.19999999999993"/>
    <x v="18"/>
    <d v="2025-01-22T00:00:00"/>
    <s v="F"/>
    <x v="4"/>
    <x v="1"/>
    <x v="0"/>
    <x v="11"/>
    <n v="3"/>
    <x v="3"/>
    <x v="2"/>
  </r>
  <r>
    <s v="TX500412"/>
    <x v="0"/>
    <x v="1"/>
    <n v="16.100000000000001"/>
    <n v="32.200000000000003"/>
    <x v="18"/>
    <d v="2025-01-21T00:00:00"/>
    <s v="M"/>
    <x v="3"/>
    <x v="2"/>
    <x v="0"/>
    <x v="32"/>
    <n v="2"/>
    <x v="3"/>
    <x v="1"/>
  </r>
  <r>
    <s v="TX500413"/>
    <x v="4"/>
    <x v="1"/>
    <n v="27.9"/>
    <n v="55.8"/>
    <x v="18"/>
    <d v="2025-01-22T00:00:00"/>
    <s v="M"/>
    <x v="0"/>
    <x v="0"/>
    <x v="0"/>
    <x v="13"/>
    <n v="3"/>
    <x v="3"/>
    <x v="1"/>
  </r>
  <r>
    <s v="TX500414"/>
    <x v="8"/>
    <x v="0"/>
    <n v="47.1"/>
    <n v="47.1"/>
    <x v="18"/>
    <d v="2025-01-27T00:00:00"/>
    <s v="F"/>
    <x v="1"/>
    <x v="0"/>
    <x v="0"/>
    <x v="2"/>
    <n v="8"/>
    <x v="3"/>
    <x v="2"/>
  </r>
  <r>
    <s v="TX500415"/>
    <x v="6"/>
    <x v="1"/>
    <n v="85"/>
    <n v="170"/>
    <x v="18"/>
    <d v="2025-01-22T00:00:00"/>
    <s v=""/>
    <x v="2"/>
    <x v="2"/>
    <x v="0"/>
    <x v="22"/>
    <n v="3"/>
    <x v="3"/>
    <x v="0"/>
  </r>
  <r>
    <s v="TX500416"/>
    <x v="18"/>
    <x v="1"/>
    <n v="89"/>
    <n v="178"/>
    <x v="18"/>
    <d v="2025-01-21T00:00:00"/>
    <s v="F"/>
    <x v="0"/>
    <x v="0"/>
    <x v="0"/>
    <x v="3"/>
    <n v="2"/>
    <x v="3"/>
    <x v="2"/>
  </r>
  <r>
    <s v="TX500417"/>
    <x v="16"/>
    <x v="2"/>
    <n v="36.6"/>
    <n v="109.80000000000001"/>
    <x v="18"/>
    <d v="2025-01-20T00:00:00"/>
    <s v="O"/>
    <x v="3"/>
    <x v="2"/>
    <x v="0"/>
    <x v="3"/>
    <n v="1"/>
    <x v="3"/>
    <x v="3"/>
  </r>
  <r>
    <s v="TX500418"/>
    <x v="6"/>
    <x v="3"/>
    <n v="43.5"/>
    <n v="304.5"/>
    <x v="18"/>
    <d v="2025-01-20T00:00:00"/>
    <s v="M"/>
    <x v="1"/>
    <x v="2"/>
    <x v="0"/>
    <x v="3"/>
    <n v="1"/>
    <x v="3"/>
    <x v="1"/>
  </r>
  <r>
    <s v="TX500419"/>
    <x v="9"/>
    <x v="10"/>
    <n v="30.5"/>
    <n v="579.5"/>
    <x v="18"/>
    <d v="2025-01-19T00:00:00"/>
    <s v="F"/>
    <x v="3"/>
    <x v="0"/>
    <x v="0"/>
    <x v="3"/>
    <n v="0"/>
    <x v="3"/>
    <x v="2"/>
  </r>
  <r>
    <s v="TX500420"/>
    <x v="1"/>
    <x v="1"/>
    <n v="107.7"/>
    <n v="215.4"/>
    <x v="18"/>
    <d v="2025-01-23T00:00:00"/>
    <s v="M"/>
    <x v="3"/>
    <x v="4"/>
    <x v="0"/>
    <x v="3"/>
    <n v="4"/>
    <x v="3"/>
    <x v="1"/>
  </r>
  <r>
    <s v="TX500421"/>
    <x v="17"/>
    <x v="18"/>
    <n v="57.1"/>
    <n v="1484.6000000000001"/>
    <x v="18"/>
    <d v="2025-01-20T00:00:00"/>
    <s v="M"/>
    <x v="1"/>
    <x v="0"/>
    <x v="0"/>
    <x v="3"/>
    <n v="1"/>
    <x v="3"/>
    <x v="1"/>
  </r>
  <r>
    <s v="TX500422"/>
    <x v="2"/>
    <x v="7"/>
    <n v="111.7"/>
    <n v="1117"/>
    <x v="18"/>
    <d v="2025-01-20T00:00:00"/>
    <s v="F"/>
    <x v="4"/>
    <x v="2"/>
    <x v="0"/>
    <x v="3"/>
    <n v="1"/>
    <x v="3"/>
    <x v="2"/>
  </r>
  <r>
    <s v="TX500423"/>
    <x v="18"/>
    <x v="3"/>
    <n v="44.3"/>
    <n v="310.09999999999997"/>
    <x v="18"/>
    <d v="2025-01-22T00:00:00"/>
    <s v="M"/>
    <x v="3"/>
    <x v="2"/>
    <x v="0"/>
    <x v="3"/>
    <n v="3"/>
    <x v="3"/>
    <x v="1"/>
  </r>
  <r>
    <s v="TX500424"/>
    <x v="2"/>
    <x v="8"/>
    <n v="95.8"/>
    <n v="766.4"/>
    <x v="18"/>
    <d v="2025-01-25T00:00:00"/>
    <s v="O"/>
    <x v="0"/>
    <x v="0"/>
    <x v="0"/>
    <x v="3"/>
    <n v="6"/>
    <x v="3"/>
    <x v="3"/>
  </r>
  <r>
    <s v="TX500425"/>
    <x v="10"/>
    <x v="3"/>
    <n v="22.6"/>
    <n v="158.20000000000002"/>
    <x v="18"/>
    <d v="2025-01-22T00:00:00"/>
    <s v="F"/>
    <x v="3"/>
    <x v="1"/>
    <x v="0"/>
    <x v="3"/>
    <n v="3"/>
    <x v="3"/>
    <x v="2"/>
  </r>
  <r>
    <s v="TX500426"/>
    <x v="8"/>
    <x v="8"/>
    <n v="25.6"/>
    <n v="204.8"/>
    <x v="18"/>
    <d v="2025-01-21T00:00:00"/>
    <s v="F"/>
    <x v="4"/>
    <x v="0"/>
    <x v="0"/>
    <x v="3"/>
    <n v="2"/>
    <x v="3"/>
    <x v="2"/>
  </r>
  <r>
    <s v="TX500427"/>
    <x v="6"/>
    <x v="27"/>
    <n v="54.3"/>
    <n v="868.8"/>
    <x v="18"/>
    <d v="2025-01-22T00:00:00"/>
    <s v="F"/>
    <x v="4"/>
    <x v="0"/>
    <x v="0"/>
    <x v="3"/>
    <n v="3"/>
    <x v="3"/>
    <x v="2"/>
  </r>
  <r>
    <s v="TX500428"/>
    <x v="18"/>
    <x v="15"/>
    <n v="51.3"/>
    <n v="666.9"/>
    <x v="18"/>
    <d v="2025-01-21T00:00:00"/>
    <s v="M"/>
    <x v="0"/>
    <x v="2"/>
    <x v="0"/>
    <x v="3"/>
    <n v="2"/>
    <x v="3"/>
    <x v="1"/>
  </r>
  <r>
    <s v="TX500429"/>
    <x v="0"/>
    <x v="8"/>
    <n v="25.6"/>
    <n v="204.8"/>
    <x v="18"/>
    <d v="2025-01-20T00:00:00"/>
    <s v="F"/>
    <x v="1"/>
    <x v="1"/>
    <x v="0"/>
    <x v="3"/>
    <n v="1"/>
    <x v="3"/>
    <x v="2"/>
  </r>
  <r>
    <s v="TX500430"/>
    <x v="0"/>
    <x v="1"/>
    <n v="15.6"/>
    <n v="31.2"/>
    <x v="18"/>
    <d v="2025-01-20T00:00:00"/>
    <s v="F"/>
    <x v="2"/>
    <x v="2"/>
    <x v="0"/>
    <x v="3"/>
    <n v="1"/>
    <x v="3"/>
    <x v="2"/>
  </r>
  <r>
    <s v="TX500431"/>
    <x v="8"/>
    <x v="2"/>
    <n v="30.3"/>
    <n v="90.9"/>
    <x v="18"/>
    <d v="2025-01-23T00:00:00"/>
    <s v="F"/>
    <x v="0"/>
    <x v="1"/>
    <x v="0"/>
    <x v="3"/>
    <n v="4"/>
    <x v="3"/>
    <x v="2"/>
  </r>
  <r>
    <s v="TX500432"/>
    <x v="12"/>
    <x v="1"/>
    <n v="30.3"/>
    <n v="60.6"/>
    <x v="18"/>
    <d v="2025-01-24T00:00:00"/>
    <s v="F"/>
    <x v="0"/>
    <x v="2"/>
    <x v="0"/>
    <x v="37"/>
    <n v="5"/>
    <x v="3"/>
    <x v="2"/>
  </r>
  <r>
    <s v="TX500433"/>
    <x v="10"/>
    <x v="2"/>
    <n v="53"/>
    <n v="159"/>
    <x v="18"/>
    <d v="2025-01-26T00:00:00"/>
    <s v="F"/>
    <x v="2"/>
    <x v="0"/>
    <x v="0"/>
    <x v="24"/>
    <n v="7"/>
    <x v="3"/>
    <x v="2"/>
  </r>
  <r>
    <s v="TX500434"/>
    <x v="5"/>
    <x v="16"/>
    <n v="59.9"/>
    <n v="1078.2"/>
    <x v="18"/>
    <d v="2025-01-22T00:00:00"/>
    <s v="M"/>
    <x v="2"/>
    <x v="4"/>
    <x v="0"/>
    <x v="25"/>
    <n v="3"/>
    <x v="3"/>
    <x v="1"/>
  </r>
  <r>
    <s v="TX500435"/>
    <x v="9"/>
    <x v="1"/>
    <n v="45.7"/>
    <n v="91.4"/>
    <x v="18"/>
    <d v="2025-01-20T00:00:00"/>
    <s v="F"/>
    <x v="1"/>
    <x v="2"/>
    <x v="0"/>
    <x v="6"/>
    <n v="1"/>
    <x v="3"/>
    <x v="2"/>
  </r>
  <r>
    <s v="TX500436"/>
    <x v="8"/>
    <x v="12"/>
    <n v="46.1"/>
    <n v="184.4"/>
    <x v="18"/>
    <d v="2025-01-20T00:00:00"/>
    <s v="M"/>
    <x v="0"/>
    <x v="0"/>
    <x v="0"/>
    <x v="6"/>
    <n v="1"/>
    <x v="3"/>
    <x v="1"/>
  </r>
  <r>
    <s v="TX500437"/>
    <x v="8"/>
    <x v="2"/>
    <n v="17.5"/>
    <n v="52.5"/>
    <x v="18"/>
    <d v="2025-01-20T00:00:00"/>
    <s v="F"/>
    <x v="0"/>
    <x v="2"/>
    <x v="0"/>
    <x v="8"/>
    <n v="1"/>
    <x v="3"/>
    <x v="2"/>
  </r>
  <r>
    <s v="TX500438"/>
    <x v="10"/>
    <x v="2"/>
    <n v="36.5"/>
    <n v="109.5"/>
    <x v="18"/>
    <d v="2025-01-30T00:00:00"/>
    <s v="M"/>
    <x v="2"/>
    <x v="0"/>
    <x v="0"/>
    <x v="8"/>
    <n v="11"/>
    <x v="3"/>
    <x v="1"/>
  </r>
  <r>
    <s v="TX500439"/>
    <x v="8"/>
    <x v="1"/>
    <n v="47.5"/>
    <n v="95"/>
    <x v="19"/>
    <d v="2025-01-22T00:00:00"/>
    <s v="F"/>
    <x v="1"/>
    <x v="0"/>
    <x v="0"/>
    <x v="8"/>
    <n v="2"/>
    <x v="3"/>
    <x v="2"/>
  </r>
  <r>
    <s v="TX500440"/>
    <x v="6"/>
    <x v="9"/>
    <n v="45.6"/>
    <n v="228"/>
    <x v="19"/>
    <d v="2025-01-22T00:00:00"/>
    <s v="F"/>
    <x v="0"/>
    <x v="2"/>
    <x v="0"/>
    <x v="8"/>
    <n v="2"/>
    <x v="3"/>
    <x v="2"/>
  </r>
  <r>
    <s v="TX500441"/>
    <x v="9"/>
    <x v="1"/>
    <n v="50.5"/>
    <n v="101"/>
    <x v="19"/>
    <d v="2025-01-22T00:00:00"/>
    <s v="M"/>
    <x v="0"/>
    <x v="1"/>
    <x v="0"/>
    <x v="17"/>
    <n v="2"/>
    <x v="3"/>
    <x v="1"/>
  </r>
  <r>
    <s v="TX500442"/>
    <x v="2"/>
    <x v="7"/>
    <n v="99.8"/>
    <n v="998"/>
    <x v="19"/>
    <d v="2025-01-23T00:00:00"/>
    <s v="F"/>
    <x v="2"/>
    <x v="1"/>
    <x v="0"/>
    <x v="17"/>
    <n v="3"/>
    <x v="3"/>
    <x v="2"/>
  </r>
  <r>
    <s v="TX500443"/>
    <x v="8"/>
    <x v="20"/>
    <n v="19.2"/>
    <n v="288"/>
    <x v="19"/>
    <d v="2025-01-22T00:00:00"/>
    <s v="O"/>
    <x v="4"/>
    <x v="1"/>
    <x v="0"/>
    <x v="26"/>
    <n v="2"/>
    <x v="3"/>
    <x v="3"/>
  </r>
  <r>
    <s v="TX500444"/>
    <x v="17"/>
    <x v="2"/>
    <n v="22.6"/>
    <n v="67.800000000000011"/>
    <x v="19"/>
    <d v="2025-01-21T00:00:00"/>
    <s v="M"/>
    <x v="1"/>
    <x v="0"/>
    <x v="0"/>
    <x v="11"/>
    <n v="1"/>
    <x v="3"/>
    <x v="1"/>
  </r>
  <r>
    <s v="TX500445"/>
    <x v="1"/>
    <x v="20"/>
    <n v="126.9"/>
    <n v="1903.5"/>
    <x v="19"/>
    <d v="2025-01-22T00:00:00"/>
    <s v="F"/>
    <x v="0"/>
    <x v="2"/>
    <x v="0"/>
    <x v="11"/>
    <n v="2"/>
    <x v="3"/>
    <x v="2"/>
  </r>
  <r>
    <s v="TX500446"/>
    <x v="2"/>
    <x v="1"/>
    <n v="100.3"/>
    <n v="200.6"/>
    <x v="19"/>
    <d v="2025-01-21T00:00:00"/>
    <s v="F"/>
    <x v="0"/>
    <x v="1"/>
    <x v="0"/>
    <x v="11"/>
    <n v="1"/>
    <x v="3"/>
    <x v="2"/>
  </r>
  <r>
    <s v="TX500447"/>
    <x v="4"/>
    <x v="16"/>
    <n v="24.6"/>
    <n v="442.8"/>
    <x v="19"/>
    <d v="2025-01-21T00:00:00"/>
    <s v="F"/>
    <x v="4"/>
    <x v="0"/>
    <x v="0"/>
    <x v="13"/>
    <n v="1"/>
    <x v="3"/>
    <x v="2"/>
  </r>
  <r>
    <s v="TX500448"/>
    <x v="6"/>
    <x v="1"/>
    <n v="47.3"/>
    <n v="94.6"/>
    <x v="19"/>
    <d v="2025-01-21T00:00:00"/>
    <s v="M"/>
    <x v="1"/>
    <x v="2"/>
    <x v="0"/>
    <x v="13"/>
    <n v="1"/>
    <x v="3"/>
    <x v="1"/>
  </r>
  <r>
    <s v="TX500449"/>
    <x v="6"/>
    <x v="3"/>
    <n v="40.799999999999997"/>
    <n v="285.59999999999997"/>
    <x v="19"/>
    <d v="2025-01-23T00:00:00"/>
    <s v="F"/>
    <x v="2"/>
    <x v="2"/>
    <x v="0"/>
    <x v="21"/>
    <n v="3"/>
    <x v="3"/>
    <x v="2"/>
  </r>
  <r>
    <s v="TX500450"/>
    <x v="8"/>
    <x v="8"/>
    <n v="49.2"/>
    <n v="393.6"/>
    <x v="19"/>
    <d v="2025-01-22T00:00:00"/>
    <s v="F"/>
    <x v="0"/>
    <x v="0"/>
    <x v="0"/>
    <x v="1"/>
    <n v="2"/>
    <x v="3"/>
    <x v="2"/>
  </r>
  <r>
    <s v="TX500451"/>
    <x v="8"/>
    <x v="0"/>
    <n v="28.5"/>
    <n v="28.5"/>
    <x v="19"/>
    <d v="2025-01-22T00:00:00"/>
    <s v=""/>
    <x v="2"/>
    <x v="1"/>
    <x v="0"/>
    <x v="3"/>
    <n v="2"/>
    <x v="3"/>
    <x v="0"/>
  </r>
  <r>
    <s v="TX500452"/>
    <x v="18"/>
    <x v="1"/>
    <n v="36.799999999999997"/>
    <n v="73.599999999999994"/>
    <x v="19"/>
    <d v="2025-01-26T00:00:00"/>
    <s v="F"/>
    <x v="0"/>
    <x v="2"/>
    <x v="0"/>
    <x v="3"/>
    <n v="6"/>
    <x v="3"/>
    <x v="2"/>
  </r>
  <r>
    <s v="TX500453"/>
    <x v="7"/>
    <x v="2"/>
    <n v="33.5"/>
    <n v="100.5"/>
    <x v="19"/>
    <d v="2025-01-21T00:00:00"/>
    <s v="F"/>
    <x v="0"/>
    <x v="1"/>
    <x v="0"/>
    <x v="3"/>
    <n v="1"/>
    <x v="3"/>
    <x v="2"/>
  </r>
  <r>
    <s v="TX500454"/>
    <x v="6"/>
    <x v="13"/>
    <n v="62.5"/>
    <n v="375"/>
    <x v="19"/>
    <d v="2025-01-22T00:00:00"/>
    <s v="F"/>
    <x v="0"/>
    <x v="0"/>
    <x v="0"/>
    <x v="3"/>
    <n v="2"/>
    <x v="3"/>
    <x v="2"/>
  </r>
  <r>
    <s v="TX500455"/>
    <x v="8"/>
    <x v="29"/>
    <n v="47.9"/>
    <n v="1916"/>
    <x v="19"/>
    <d v="2025-01-21T00:00:00"/>
    <s v="F"/>
    <x v="3"/>
    <x v="0"/>
    <x v="0"/>
    <x v="3"/>
    <n v="1"/>
    <x v="3"/>
    <x v="2"/>
  </r>
  <r>
    <s v="TX500456"/>
    <x v="6"/>
    <x v="13"/>
    <n v="92.9"/>
    <n v="557.40000000000009"/>
    <x v="19"/>
    <d v="2025-01-31T00:00:00"/>
    <s v="F"/>
    <x v="0"/>
    <x v="4"/>
    <x v="0"/>
    <x v="3"/>
    <n v="11"/>
    <x v="3"/>
    <x v="2"/>
  </r>
  <r>
    <s v="TX500457"/>
    <x v="12"/>
    <x v="2"/>
    <n v="44.1"/>
    <n v="132.30000000000001"/>
    <x v="19"/>
    <d v="2025-01-20T00:00:00"/>
    <s v="F"/>
    <x v="1"/>
    <x v="1"/>
    <x v="0"/>
    <x v="43"/>
    <n v="0"/>
    <x v="3"/>
    <x v="2"/>
  </r>
  <r>
    <s v="TX500458"/>
    <x v="0"/>
    <x v="0"/>
    <n v="11.4"/>
    <n v="11.4"/>
    <x v="20"/>
    <d v="2025-01-23T00:00:00"/>
    <s v="F"/>
    <x v="2"/>
    <x v="0"/>
    <x v="0"/>
    <x v="5"/>
    <n v="2"/>
    <x v="3"/>
    <x v="2"/>
  </r>
  <r>
    <s v="TX500459"/>
    <x v="6"/>
    <x v="0"/>
    <n v="83.7"/>
    <n v="83.7"/>
    <x v="20"/>
    <d v="2025-01-23T00:00:00"/>
    <s v="F"/>
    <x v="0"/>
    <x v="2"/>
    <x v="0"/>
    <x v="6"/>
    <n v="2"/>
    <x v="3"/>
    <x v="2"/>
  </r>
  <r>
    <s v="TX500460"/>
    <x v="10"/>
    <x v="1"/>
    <n v="23.2"/>
    <n v="46.4"/>
    <x v="20"/>
    <d v="2025-01-22T00:00:00"/>
    <s v="M"/>
    <x v="2"/>
    <x v="0"/>
    <x v="0"/>
    <x v="8"/>
    <n v="1"/>
    <x v="3"/>
    <x v="1"/>
  </r>
  <r>
    <s v="TX500461"/>
    <x v="2"/>
    <x v="0"/>
    <n v="162.1"/>
    <n v="162.1"/>
    <x v="20"/>
    <d v="2025-01-24T00:00:00"/>
    <s v="F"/>
    <x v="0"/>
    <x v="2"/>
    <x v="0"/>
    <x v="9"/>
    <n v="3"/>
    <x v="3"/>
    <x v="2"/>
  </r>
  <r>
    <s v="TX500462"/>
    <x v="6"/>
    <x v="12"/>
    <n v="49.2"/>
    <n v="196.8"/>
    <x v="20"/>
    <d v="2025-01-25T00:00:00"/>
    <s v="M"/>
    <x v="1"/>
    <x v="0"/>
    <x v="0"/>
    <x v="9"/>
    <n v="4"/>
    <x v="3"/>
    <x v="1"/>
  </r>
  <r>
    <s v="TX500463"/>
    <x v="1"/>
    <x v="1"/>
    <n v="61"/>
    <n v="122"/>
    <x v="20"/>
    <d v="2025-01-22T00:00:00"/>
    <s v="M"/>
    <x v="3"/>
    <x v="0"/>
    <x v="0"/>
    <x v="10"/>
    <n v="1"/>
    <x v="3"/>
    <x v="1"/>
  </r>
  <r>
    <s v="TX500464"/>
    <x v="2"/>
    <x v="7"/>
    <n v="53.1"/>
    <n v="531"/>
    <x v="20"/>
    <d v="2025-01-23T00:00:00"/>
    <s v="M"/>
    <x v="0"/>
    <x v="0"/>
    <x v="0"/>
    <x v="11"/>
    <n v="2"/>
    <x v="3"/>
    <x v="1"/>
  </r>
  <r>
    <s v="TX500465"/>
    <x v="4"/>
    <x v="1"/>
    <n v="22.4"/>
    <n v="44.8"/>
    <x v="20"/>
    <d v="2025-01-23T00:00:00"/>
    <s v=""/>
    <x v="1"/>
    <x v="2"/>
    <x v="0"/>
    <x v="13"/>
    <n v="2"/>
    <x v="3"/>
    <x v="0"/>
  </r>
  <r>
    <s v="TX500466"/>
    <x v="1"/>
    <x v="9"/>
    <n v="75.3"/>
    <n v="376.5"/>
    <x v="20"/>
    <d v="2025-01-22T00:00:00"/>
    <s v="M"/>
    <x v="0"/>
    <x v="0"/>
    <x v="0"/>
    <x v="21"/>
    <n v="1"/>
    <x v="3"/>
    <x v="1"/>
  </r>
  <r>
    <s v="TX500467"/>
    <x v="6"/>
    <x v="0"/>
    <n v="48.5"/>
    <n v="48.5"/>
    <x v="20"/>
    <d v="2025-01-22T00:00:00"/>
    <s v="F"/>
    <x v="0"/>
    <x v="1"/>
    <x v="0"/>
    <x v="21"/>
    <n v="1"/>
    <x v="3"/>
    <x v="2"/>
  </r>
  <r>
    <s v="TX500468"/>
    <x v="6"/>
    <x v="0"/>
    <n v="42.6"/>
    <n v="42.6"/>
    <x v="20"/>
    <d v="2025-01-25T00:00:00"/>
    <s v="F"/>
    <x v="3"/>
    <x v="0"/>
    <x v="0"/>
    <x v="1"/>
    <n v="4"/>
    <x v="3"/>
    <x v="2"/>
  </r>
  <r>
    <s v="TX500469"/>
    <x v="5"/>
    <x v="9"/>
    <n v="49"/>
    <n v="245"/>
    <x v="20"/>
    <d v="2025-01-22T00:00:00"/>
    <s v="M"/>
    <x v="0"/>
    <x v="0"/>
    <x v="0"/>
    <x v="22"/>
    <n v="1"/>
    <x v="3"/>
    <x v="1"/>
  </r>
  <r>
    <s v="TX500470"/>
    <x v="8"/>
    <x v="2"/>
    <n v="31.3"/>
    <n v="93.9"/>
    <x v="20"/>
    <d v="2025-01-22T00:00:00"/>
    <s v="M"/>
    <x v="2"/>
    <x v="1"/>
    <x v="0"/>
    <x v="3"/>
    <n v="1"/>
    <x v="3"/>
    <x v="1"/>
  </r>
  <r>
    <s v="TX500471"/>
    <x v="2"/>
    <x v="1"/>
    <n v="85.4"/>
    <n v="170.8"/>
    <x v="20"/>
    <d v="2025-01-22T00:00:00"/>
    <s v="F"/>
    <x v="2"/>
    <x v="0"/>
    <x v="0"/>
    <x v="3"/>
    <n v="1"/>
    <x v="3"/>
    <x v="2"/>
  </r>
  <r>
    <s v="TX500472"/>
    <x v="8"/>
    <x v="12"/>
    <n v="40"/>
    <n v="160"/>
    <x v="20"/>
    <d v="2025-01-22T00:00:00"/>
    <s v="O"/>
    <x v="0"/>
    <x v="2"/>
    <x v="0"/>
    <x v="3"/>
    <n v="1"/>
    <x v="3"/>
    <x v="3"/>
  </r>
  <r>
    <s v="TX500473"/>
    <x v="5"/>
    <x v="1"/>
    <n v="38.5"/>
    <n v="77"/>
    <x v="20"/>
    <d v="2025-01-24T00:00:00"/>
    <s v="M"/>
    <x v="1"/>
    <x v="2"/>
    <x v="0"/>
    <x v="3"/>
    <n v="3"/>
    <x v="3"/>
    <x v="1"/>
  </r>
  <r>
    <s v="TX500474"/>
    <x v="2"/>
    <x v="1"/>
    <n v="57.8"/>
    <n v="115.6"/>
    <x v="20"/>
    <d v="2025-01-22T00:00:00"/>
    <s v=""/>
    <x v="0"/>
    <x v="0"/>
    <x v="0"/>
    <x v="3"/>
    <n v="1"/>
    <x v="3"/>
    <x v="0"/>
  </r>
  <r>
    <s v="TX500475"/>
    <x v="8"/>
    <x v="0"/>
    <n v="19.2"/>
    <n v="19.2"/>
    <x v="20"/>
    <d v="2025-01-22T00:00:00"/>
    <s v="F"/>
    <x v="0"/>
    <x v="4"/>
    <x v="0"/>
    <x v="3"/>
    <n v="1"/>
    <x v="3"/>
    <x v="2"/>
  </r>
  <r>
    <s v="TX500476"/>
    <x v="6"/>
    <x v="13"/>
    <n v="114.8"/>
    <n v="688.8"/>
    <x v="20"/>
    <d v="2025-01-24T00:00:00"/>
    <s v="M"/>
    <x v="1"/>
    <x v="1"/>
    <x v="0"/>
    <x v="3"/>
    <n v="3"/>
    <x v="3"/>
    <x v="1"/>
  </r>
  <r>
    <s v="TX500477"/>
    <x v="10"/>
    <x v="3"/>
    <n v="48.4"/>
    <n v="338.8"/>
    <x v="20"/>
    <d v="2025-01-24T00:00:00"/>
    <s v="F"/>
    <x v="3"/>
    <x v="1"/>
    <x v="0"/>
    <x v="3"/>
    <n v="3"/>
    <x v="3"/>
    <x v="2"/>
  </r>
  <r>
    <s v="TX500478"/>
    <x v="9"/>
    <x v="9"/>
    <n v="73.2"/>
    <n v="366"/>
    <x v="20"/>
    <d v="2025-01-22T00:00:00"/>
    <s v="F"/>
    <x v="1"/>
    <x v="4"/>
    <x v="0"/>
    <x v="3"/>
    <n v="1"/>
    <x v="3"/>
    <x v="2"/>
  </r>
  <r>
    <s v="TX500479"/>
    <x v="15"/>
    <x v="1"/>
    <n v="48.6"/>
    <n v="97.2"/>
    <x v="20"/>
    <d v="2025-01-25T00:00:00"/>
    <s v="F"/>
    <x v="3"/>
    <x v="0"/>
    <x v="0"/>
    <x v="3"/>
    <n v="4"/>
    <x v="3"/>
    <x v="2"/>
  </r>
  <r>
    <s v="TX500480"/>
    <x v="0"/>
    <x v="13"/>
    <n v="48.7"/>
    <n v="292.20000000000005"/>
    <x v="20"/>
    <d v="2025-01-22T00:00:00"/>
    <s v="M"/>
    <x v="0"/>
    <x v="0"/>
    <x v="0"/>
    <x v="3"/>
    <n v="1"/>
    <x v="3"/>
    <x v="1"/>
  </r>
  <r>
    <s v="TX500481"/>
    <x v="4"/>
    <x v="1"/>
    <n v="32.200000000000003"/>
    <n v="64.400000000000006"/>
    <x v="20"/>
    <d v="2025-01-24T00:00:00"/>
    <s v="M"/>
    <x v="2"/>
    <x v="2"/>
    <x v="0"/>
    <x v="3"/>
    <n v="3"/>
    <x v="3"/>
    <x v="1"/>
  </r>
  <r>
    <s v="TX500482"/>
    <x v="15"/>
    <x v="8"/>
    <n v="25.8"/>
    <n v="206.4"/>
    <x v="20"/>
    <d v="2025-01-22T00:00:00"/>
    <s v="M"/>
    <x v="0"/>
    <x v="0"/>
    <x v="0"/>
    <x v="37"/>
    <n v="1"/>
    <x v="3"/>
    <x v="1"/>
  </r>
  <r>
    <s v="TX500483"/>
    <x v="6"/>
    <x v="1"/>
    <n v="94.8"/>
    <n v="189.6"/>
    <x v="21"/>
    <d v="2025-01-25T00:00:00"/>
    <s v="F"/>
    <x v="1"/>
    <x v="1"/>
    <x v="0"/>
    <x v="25"/>
    <n v="3"/>
    <x v="3"/>
    <x v="2"/>
  </r>
  <r>
    <s v="TX500484"/>
    <x v="15"/>
    <x v="30"/>
    <n v="56.8"/>
    <n v="1420"/>
    <x v="21"/>
    <d v="2025-01-25T00:00:00"/>
    <s v="M"/>
    <x v="0"/>
    <x v="0"/>
    <x v="0"/>
    <x v="25"/>
    <n v="3"/>
    <x v="3"/>
    <x v="1"/>
  </r>
  <r>
    <s v="TX500485"/>
    <x v="8"/>
    <x v="27"/>
    <n v="18.3"/>
    <n v="292.8"/>
    <x v="21"/>
    <d v="2025-01-29T00:00:00"/>
    <s v="F"/>
    <x v="2"/>
    <x v="2"/>
    <x v="0"/>
    <x v="23"/>
    <n v="7"/>
    <x v="3"/>
    <x v="2"/>
  </r>
  <r>
    <s v="TX500486"/>
    <x v="0"/>
    <x v="2"/>
    <n v="16.8"/>
    <n v="50.400000000000006"/>
    <x v="21"/>
    <d v="2025-01-27T00:00:00"/>
    <s v="F"/>
    <x v="2"/>
    <x v="2"/>
    <x v="0"/>
    <x v="8"/>
    <n v="5"/>
    <x v="3"/>
    <x v="2"/>
  </r>
  <r>
    <s v="TX500487"/>
    <x v="5"/>
    <x v="5"/>
    <n v="35.799999999999997"/>
    <n v="393.79999999999995"/>
    <x v="21"/>
    <d v="2025-01-23T00:00:00"/>
    <s v="M"/>
    <x v="1"/>
    <x v="0"/>
    <x v="0"/>
    <x v="17"/>
    <n v="1"/>
    <x v="3"/>
    <x v="1"/>
  </r>
  <r>
    <s v="TX500488"/>
    <x v="18"/>
    <x v="0"/>
    <n v="64.900000000000006"/>
    <n v="64.900000000000006"/>
    <x v="21"/>
    <d v="2025-01-23T00:00:00"/>
    <s v="M"/>
    <x v="0"/>
    <x v="1"/>
    <x v="0"/>
    <x v="17"/>
    <n v="1"/>
    <x v="3"/>
    <x v="1"/>
  </r>
  <r>
    <s v="TX500489"/>
    <x v="18"/>
    <x v="0"/>
    <n v="28.5"/>
    <n v="28.5"/>
    <x v="21"/>
    <d v="2025-01-24T00:00:00"/>
    <s v=""/>
    <x v="1"/>
    <x v="0"/>
    <x v="0"/>
    <x v="9"/>
    <n v="2"/>
    <x v="3"/>
    <x v="0"/>
  </r>
  <r>
    <s v="TX500490"/>
    <x v="18"/>
    <x v="1"/>
    <n v="103.5"/>
    <n v="207"/>
    <x v="21"/>
    <d v="2025-01-24T00:00:00"/>
    <s v="F"/>
    <x v="1"/>
    <x v="0"/>
    <x v="0"/>
    <x v="10"/>
    <n v="2"/>
    <x v="3"/>
    <x v="2"/>
  </r>
  <r>
    <s v="TX500491"/>
    <x v="4"/>
    <x v="1"/>
    <n v="41.2"/>
    <n v="82.4"/>
    <x v="21"/>
    <d v="2025-01-23T00:00:00"/>
    <s v="F"/>
    <x v="1"/>
    <x v="0"/>
    <x v="0"/>
    <x v="10"/>
    <n v="1"/>
    <x v="3"/>
    <x v="2"/>
  </r>
  <r>
    <s v="TX500492"/>
    <x v="9"/>
    <x v="0"/>
    <n v="37.799999999999997"/>
    <n v="37.799999999999997"/>
    <x v="21"/>
    <d v="2025-01-24T00:00:00"/>
    <s v="F"/>
    <x v="3"/>
    <x v="3"/>
    <x v="0"/>
    <x v="11"/>
    <n v="2"/>
    <x v="3"/>
    <x v="2"/>
  </r>
  <r>
    <s v="TX500493"/>
    <x v="8"/>
    <x v="1"/>
    <n v="42.6"/>
    <n v="85.2"/>
    <x v="21"/>
    <d v="2025-01-24T00:00:00"/>
    <s v="F"/>
    <x v="4"/>
    <x v="0"/>
    <x v="0"/>
    <x v="11"/>
    <n v="2"/>
    <x v="3"/>
    <x v="2"/>
  </r>
  <r>
    <s v="TX500494"/>
    <x v="8"/>
    <x v="7"/>
    <n v="15.2"/>
    <n v="152"/>
    <x v="21"/>
    <d v="2025-01-24T00:00:00"/>
    <s v="F"/>
    <x v="2"/>
    <x v="0"/>
    <x v="0"/>
    <x v="11"/>
    <n v="2"/>
    <x v="3"/>
    <x v="2"/>
  </r>
  <r>
    <s v="TX500495"/>
    <x v="7"/>
    <x v="12"/>
    <n v="83.4"/>
    <n v="333.6"/>
    <x v="21"/>
    <d v="2025-01-23T00:00:00"/>
    <s v="F"/>
    <x v="2"/>
    <x v="1"/>
    <x v="0"/>
    <x v="18"/>
    <n v="1"/>
    <x v="3"/>
    <x v="2"/>
  </r>
  <r>
    <s v="TX500496"/>
    <x v="19"/>
    <x v="1"/>
    <n v="27.7"/>
    <n v="55.4"/>
    <x v="21"/>
    <d v="2025-01-23T00:00:00"/>
    <s v="F"/>
    <x v="0"/>
    <x v="1"/>
    <x v="0"/>
    <x v="13"/>
    <n v="1"/>
    <x v="3"/>
    <x v="2"/>
  </r>
  <r>
    <s v="TX500497"/>
    <x v="10"/>
    <x v="4"/>
    <n v="20.8"/>
    <n v="249.60000000000002"/>
    <x v="21"/>
    <d v="2025-01-23T00:00:00"/>
    <s v="M"/>
    <x v="3"/>
    <x v="0"/>
    <x v="0"/>
    <x v="13"/>
    <n v="1"/>
    <x v="3"/>
    <x v="1"/>
  </r>
  <r>
    <s v="TX500498"/>
    <x v="11"/>
    <x v="1"/>
    <n v="72.7"/>
    <n v="145.4"/>
    <x v="21"/>
    <d v="2025-01-26T00:00:00"/>
    <s v="F"/>
    <x v="4"/>
    <x v="2"/>
    <x v="0"/>
    <x v="44"/>
    <n v="4"/>
    <x v="3"/>
    <x v="2"/>
  </r>
  <r>
    <s v="TX500499"/>
    <x v="10"/>
    <x v="12"/>
    <n v="38.6"/>
    <n v="154.4"/>
    <x v="21"/>
    <d v="2025-01-23T00:00:00"/>
    <s v="M"/>
    <x v="0"/>
    <x v="2"/>
    <x v="0"/>
    <x v="22"/>
    <n v="1"/>
    <x v="3"/>
    <x v="1"/>
  </r>
  <r>
    <s v="TX500500"/>
    <x v="8"/>
    <x v="3"/>
    <n v="33.1"/>
    <n v="231.70000000000002"/>
    <x v="21"/>
    <d v="2025-01-23T00:00:00"/>
    <s v="O"/>
    <x v="4"/>
    <x v="3"/>
    <x v="0"/>
    <x v="3"/>
    <n v="1"/>
    <x v="3"/>
    <x v="3"/>
  </r>
  <r>
    <s v="TX500501"/>
    <x v="10"/>
    <x v="1"/>
    <n v="30.5"/>
    <n v="61"/>
    <x v="21"/>
    <d v="2025-01-22T00:00:00"/>
    <s v=""/>
    <x v="1"/>
    <x v="1"/>
    <x v="0"/>
    <x v="3"/>
    <n v="0"/>
    <x v="3"/>
    <x v="0"/>
  </r>
  <r>
    <s v="TX500502"/>
    <x v="9"/>
    <x v="1"/>
    <n v="69.599999999999994"/>
    <n v="139.19999999999999"/>
    <x v="21"/>
    <d v="2025-01-23T00:00:00"/>
    <s v="M"/>
    <x v="0"/>
    <x v="1"/>
    <x v="0"/>
    <x v="3"/>
    <n v="1"/>
    <x v="3"/>
    <x v="1"/>
  </r>
  <r>
    <s v="TX500503"/>
    <x v="11"/>
    <x v="0"/>
    <n v="42.4"/>
    <n v="42.4"/>
    <x v="21"/>
    <d v="2025-01-26T00:00:00"/>
    <s v="F"/>
    <x v="1"/>
    <x v="0"/>
    <x v="0"/>
    <x v="3"/>
    <n v="4"/>
    <x v="3"/>
    <x v="2"/>
  </r>
  <r>
    <s v="TX500504"/>
    <x v="17"/>
    <x v="0"/>
    <n v="32.200000000000003"/>
    <n v="32.200000000000003"/>
    <x v="21"/>
    <d v="2025-01-25T00:00:00"/>
    <s v="F"/>
    <x v="2"/>
    <x v="1"/>
    <x v="0"/>
    <x v="3"/>
    <n v="3"/>
    <x v="3"/>
    <x v="2"/>
  </r>
  <r>
    <s v="TX500505"/>
    <x v="6"/>
    <x v="1"/>
    <n v="41.5"/>
    <n v="83"/>
    <x v="21"/>
    <d v="2025-01-25T00:00:00"/>
    <s v="F"/>
    <x v="0"/>
    <x v="2"/>
    <x v="0"/>
    <x v="3"/>
    <n v="3"/>
    <x v="3"/>
    <x v="2"/>
  </r>
  <r>
    <s v="TX500506"/>
    <x v="16"/>
    <x v="11"/>
    <n v="58.9"/>
    <n v="530.1"/>
    <x v="21"/>
    <d v="2025-01-26T00:00:00"/>
    <s v="F"/>
    <x v="3"/>
    <x v="0"/>
    <x v="0"/>
    <x v="3"/>
    <n v="4"/>
    <x v="3"/>
    <x v="2"/>
  </r>
  <r>
    <s v="TX500507"/>
    <x v="2"/>
    <x v="0"/>
    <n v="57.1"/>
    <n v="57.1"/>
    <x v="21"/>
    <d v="2025-01-25T00:00:00"/>
    <s v="F"/>
    <x v="1"/>
    <x v="0"/>
    <x v="0"/>
    <x v="3"/>
    <n v="3"/>
    <x v="3"/>
    <x v="2"/>
  </r>
  <r>
    <s v="TX500508"/>
    <x v="6"/>
    <x v="0"/>
    <n v="57.2"/>
    <n v="57.2"/>
    <x v="21"/>
    <d v="2025-01-24T00:00:00"/>
    <s v="M"/>
    <x v="1"/>
    <x v="0"/>
    <x v="0"/>
    <x v="3"/>
    <n v="2"/>
    <x v="3"/>
    <x v="1"/>
  </r>
  <r>
    <s v="TX500509"/>
    <x v="8"/>
    <x v="1"/>
    <n v="35.1"/>
    <n v="70.2"/>
    <x v="21"/>
    <d v="2025-01-23T00:00:00"/>
    <s v="M"/>
    <x v="1"/>
    <x v="0"/>
    <x v="0"/>
    <x v="6"/>
    <n v="1"/>
    <x v="3"/>
    <x v="1"/>
  </r>
  <r>
    <s v="TX500510"/>
    <x v="1"/>
    <x v="0"/>
    <n v="52.1"/>
    <n v="52.1"/>
    <x v="21"/>
    <d v="2025-01-24T00:00:00"/>
    <s v="F"/>
    <x v="4"/>
    <x v="1"/>
    <x v="0"/>
    <x v="8"/>
    <n v="2"/>
    <x v="3"/>
    <x v="2"/>
  </r>
  <r>
    <s v="TX500511"/>
    <x v="13"/>
    <x v="2"/>
    <n v="59.8"/>
    <n v="179.39999999999998"/>
    <x v="21"/>
    <d v="2025-01-24T00:00:00"/>
    <s v="F"/>
    <x v="4"/>
    <x v="1"/>
    <x v="0"/>
    <x v="8"/>
    <n v="2"/>
    <x v="3"/>
    <x v="2"/>
  </r>
  <r>
    <s v="TX500512"/>
    <x v="3"/>
    <x v="12"/>
    <n v="83.3"/>
    <n v="333.2"/>
    <x v="21"/>
    <d v="2025-01-22T00:00:00"/>
    <s v=""/>
    <x v="2"/>
    <x v="0"/>
    <x v="0"/>
    <x v="8"/>
    <n v="0"/>
    <x v="3"/>
    <x v="0"/>
  </r>
  <r>
    <s v="TX500513"/>
    <x v="15"/>
    <x v="4"/>
    <n v="41.3"/>
    <n v="495.59999999999997"/>
    <x v="21"/>
    <d v="2025-01-23T00:00:00"/>
    <s v="F"/>
    <x v="1"/>
    <x v="0"/>
    <x v="0"/>
    <x v="8"/>
    <n v="1"/>
    <x v="3"/>
    <x v="2"/>
  </r>
  <r>
    <s v="TX500514"/>
    <x v="8"/>
    <x v="9"/>
    <n v="16"/>
    <n v="80"/>
    <x v="21"/>
    <d v="2025-01-24T00:00:00"/>
    <s v="M"/>
    <x v="4"/>
    <x v="1"/>
    <x v="0"/>
    <x v="9"/>
    <n v="2"/>
    <x v="3"/>
    <x v="1"/>
  </r>
  <r>
    <s v="TX500515"/>
    <x v="10"/>
    <x v="1"/>
    <n v="20.8"/>
    <n v="41.6"/>
    <x v="22"/>
    <d v="2025-01-25T00:00:00"/>
    <s v="M"/>
    <x v="0"/>
    <x v="2"/>
    <x v="0"/>
    <x v="11"/>
    <n v="2"/>
    <x v="3"/>
    <x v="1"/>
  </r>
  <r>
    <s v="TX500516"/>
    <x v="8"/>
    <x v="31"/>
    <n v="27.1"/>
    <n v="758.80000000000007"/>
    <x v="22"/>
    <d v="2025-01-24T00:00:00"/>
    <s v=""/>
    <x v="3"/>
    <x v="2"/>
    <x v="0"/>
    <x v="11"/>
    <n v="1"/>
    <x v="3"/>
    <x v="0"/>
  </r>
  <r>
    <s v="TX500517"/>
    <x v="10"/>
    <x v="1"/>
    <n v="38.9"/>
    <n v="77.8"/>
    <x v="22"/>
    <d v="2025-01-25T00:00:00"/>
    <s v="F"/>
    <x v="0"/>
    <x v="0"/>
    <x v="0"/>
    <x v="18"/>
    <n v="2"/>
    <x v="3"/>
    <x v="2"/>
  </r>
  <r>
    <s v="TX500518"/>
    <x v="0"/>
    <x v="1"/>
    <n v="10.8"/>
    <n v="21.6"/>
    <x v="22"/>
    <d v="2025-01-26T00:00:00"/>
    <s v="F"/>
    <x v="1"/>
    <x v="2"/>
    <x v="0"/>
    <x v="45"/>
    <n v="3"/>
    <x v="3"/>
    <x v="2"/>
  </r>
  <r>
    <s v="TX500519"/>
    <x v="4"/>
    <x v="15"/>
    <n v="48.4"/>
    <n v="629.19999999999993"/>
    <x v="22"/>
    <d v="2025-01-27T00:00:00"/>
    <s v="F"/>
    <x v="0"/>
    <x v="0"/>
    <x v="0"/>
    <x v="21"/>
    <n v="4"/>
    <x v="3"/>
    <x v="2"/>
  </r>
  <r>
    <s v="TX500520"/>
    <x v="4"/>
    <x v="2"/>
    <n v="29.2"/>
    <n v="87.6"/>
    <x v="22"/>
    <d v="2025-01-26T00:00:00"/>
    <s v="F"/>
    <x v="1"/>
    <x v="1"/>
    <x v="0"/>
    <x v="2"/>
    <n v="3"/>
    <x v="3"/>
    <x v="2"/>
  </r>
  <r>
    <s v="TX500521"/>
    <x v="4"/>
    <x v="1"/>
    <n v="25.1"/>
    <n v="50.2"/>
    <x v="22"/>
    <d v="2025-01-24T00:00:00"/>
    <s v="M"/>
    <x v="0"/>
    <x v="1"/>
    <x v="0"/>
    <x v="2"/>
    <n v="1"/>
    <x v="3"/>
    <x v="1"/>
  </r>
  <r>
    <s v="TX500522"/>
    <x v="7"/>
    <x v="2"/>
    <n v="65.599999999999994"/>
    <n v="196.79999999999998"/>
    <x v="22"/>
    <d v="2025-01-23T00:00:00"/>
    <s v="F"/>
    <x v="2"/>
    <x v="1"/>
    <x v="0"/>
    <x v="3"/>
    <n v="0"/>
    <x v="3"/>
    <x v="2"/>
  </r>
  <r>
    <s v="TX500523"/>
    <x v="2"/>
    <x v="1"/>
    <n v="57.3"/>
    <n v="114.6"/>
    <x v="22"/>
    <d v="2025-01-23T00:00:00"/>
    <s v=""/>
    <x v="0"/>
    <x v="0"/>
    <x v="0"/>
    <x v="3"/>
    <n v="0"/>
    <x v="3"/>
    <x v="0"/>
  </r>
  <r>
    <s v="TX500524"/>
    <x v="9"/>
    <x v="12"/>
    <n v="22.4"/>
    <n v="89.6"/>
    <x v="22"/>
    <d v="2025-01-24T00:00:00"/>
    <s v="F"/>
    <x v="2"/>
    <x v="2"/>
    <x v="0"/>
    <x v="3"/>
    <n v="1"/>
    <x v="3"/>
    <x v="2"/>
  </r>
  <r>
    <s v="TX500525"/>
    <x v="12"/>
    <x v="11"/>
    <n v="45.7"/>
    <n v="411.3"/>
    <x v="22"/>
    <d v="2025-01-24T00:00:00"/>
    <s v="F"/>
    <x v="0"/>
    <x v="0"/>
    <x v="0"/>
    <x v="3"/>
    <n v="1"/>
    <x v="3"/>
    <x v="2"/>
  </r>
  <r>
    <s v="TX500526"/>
    <x v="8"/>
    <x v="1"/>
    <n v="29.3"/>
    <n v="58.6"/>
    <x v="22"/>
    <d v="2025-01-24T00:00:00"/>
    <s v="M"/>
    <x v="1"/>
    <x v="0"/>
    <x v="0"/>
    <x v="3"/>
    <n v="1"/>
    <x v="3"/>
    <x v="1"/>
  </r>
  <r>
    <s v="TX500527"/>
    <x v="18"/>
    <x v="32"/>
    <n v="74"/>
    <n v="1628"/>
    <x v="22"/>
    <d v="2025-01-24T00:00:00"/>
    <s v="M"/>
    <x v="0"/>
    <x v="2"/>
    <x v="0"/>
    <x v="3"/>
    <n v="1"/>
    <x v="3"/>
    <x v="1"/>
  </r>
  <r>
    <s v="TX500528"/>
    <x v="14"/>
    <x v="1"/>
    <n v="39.200000000000003"/>
    <n v="78.400000000000006"/>
    <x v="22"/>
    <d v="2025-01-25T00:00:00"/>
    <s v="F"/>
    <x v="1"/>
    <x v="0"/>
    <x v="0"/>
    <x v="3"/>
    <n v="2"/>
    <x v="3"/>
    <x v="2"/>
  </r>
  <r>
    <s v="TX500529"/>
    <x v="4"/>
    <x v="14"/>
    <n v="62.7"/>
    <n v="1065.9000000000001"/>
    <x v="22"/>
    <d v="2025-01-24T00:00:00"/>
    <s v="F"/>
    <x v="2"/>
    <x v="1"/>
    <x v="0"/>
    <x v="3"/>
    <n v="1"/>
    <x v="3"/>
    <x v="2"/>
  </r>
  <r>
    <s v="TX500530"/>
    <x v="10"/>
    <x v="1"/>
    <n v="60.1"/>
    <n v="120.2"/>
    <x v="22"/>
    <d v="2025-01-24T00:00:00"/>
    <s v="F"/>
    <x v="3"/>
    <x v="0"/>
    <x v="0"/>
    <x v="3"/>
    <n v="1"/>
    <x v="3"/>
    <x v="2"/>
  </r>
  <r>
    <s v="TX500531"/>
    <x v="0"/>
    <x v="12"/>
    <n v="11.2"/>
    <n v="44.8"/>
    <x v="22"/>
    <d v="2025-01-24T00:00:00"/>
    <s v="F"/>
    <x v="3"/>
    <x v="1"/>
    <x v="0"/>
    <x v="3"/>
    <n v="1"/>
    <x v="3"/>
    <x v="2"/>
  </r>
  <r>
    <s v="TX500532"/>
    <x v="8"/>
    <x v="1"/>
    <n v="22.9"/>
    <n v="45.8"/>
    <x v="22"/>
    <d v="2025-01-24T00:00:00"/>
    <s v="F"/>
    <x v="0"/>
    <x v="0"/>
    <x v="0"/>
    <x v="6"/>
    <n v="1"/>
    <x v="3"/>
    <x v="2"/>
  </r>
  <r>
    <s v="TX500533"/>
    <x v="1"/>
    <x v="1"/>
    <n v="37.6"/>
    <n v="75.2"/>
    <x v="22"/>
    <d v="2025-01-26T00:00:00"/>
    <s v="F"/>
    <x v="0"/>
    <x v="0"/>
    <x v="0"/>
    <x v="6"/>
    <n v="3"/>
    <x v="3"/>
    <x v="2"/>
  </r>
  <r>
    <s v="TX500534"/>
    <x v="6"/>
    <x v="0"/>
    <n v="42.4"/>
    <n v="42.4"/>
    <x v="22"/>
    <d v="2025-01-24T00:00:00"/>
    <s v="F"/>
    <x v="3"/>
    <x v="2"/>
    <x v="0"/>
    <x v="6"/>
    <n v="1"/>
    <x v="3"/>
    <x v="2"/>
  </r>
  <r>
    <s v="TX500535"/>
    <x v="8"/>
    <x v="1"/>
    <n v="19.600000000000001"/>
    <n v="39.200000000000003"/>
    <x v="22"/>
    <d v="2025-01-27T00:00:00"/>
    <s v="F"/>
    <x v="2"/>
    <x v="0"/>
    <x v="0"/>
    <x v="7"/>
    <n v="4"/>
    <x v="3"/>
    <x v="2"/>
  </r>
  <r>
    <s v="TX500536"/>
    <x v="9"/>
    <x v="0"/>
    <n v="90.5"/>
    <n v="90.5"/>
    <x v="22"/>
    <d v="2025-01-26T00:00:00"/>
    <s v="F"/>
    <x v="2"/>
    <x v="0"/>
    <x v="0"/>
    <x v="7"/>
    <n v="3"/>
    <x v="3"/>
    <x v="2"/>
  </r>
  <r>
    <s v="TX500537"/>
    <x v="16"/>
    <x v="5"/>
    <n v="33.9"/>
    <n v="372.9"/>
    <x v="22"/>
    <d v="2025-01-24T00:00:00"/>
    <s v="M"/>
    <x v="2"/>
    <x v="1"/>
    <x v="0"/>
    <x v="7"/>
    <n v="1"/>
    <x v="3"/>
    <x v="1"/>
  </r>
  <r>
    <s v="TX500538"/>
    <x v="0"/>
    <x v="1"/>
    <n v="32.799999999999997"/>
    <n v="65.599999999999994"/>
    <x v="22"/>
    <d v="2025-01-25T00:00:00"/>
    <s v="F"/>
    <x v="4"/>
    <x v="4"/>
    <x v="0"/>
    <x v="8"/>
    <n v="2"/>
    <x v="3"/>
    <x v="2"/>
  </r>
  <r>
    <s v="TX500539"/>
    <x v="15"/>
    <x v="0"/>
    <n v="49.9"/>
    <n v="49.9"/>
    <x v="22"/>
    <d v="2025-01-24T00:00:00"/>
    <s v="M"/>
    <x v="3"/>
    <x v="1"/>
    <x v="0"/>
    <x v="8"/>
    <n v="1"/>
    <x v="3"/>
    <x v="1"/>
  </r>
  <r>
    <s v="TX500540"/>
    <x v="7"/>
    <x v="9"/>
    <n v="79.2"/>
    <n v="396"/>
    <x v="22"/>
    <d v="2025-01-24T00:00:00"/>
    <s v="F"/>
    <x v="4"/>
    <x v="0"/>
    <x v="0"/>
    <x v="8"/>
    <n v="1"/>
    <x v="3"/>
    <x v="2"/>
  </r>
  <r>
    <s v="TX500541"/>
    <x v="8"/>
    <x v="27"/>
    <n v="19.5"/>
    <n v="312"/>
    <x v="22"/>
    <d v="2025-01-25T00:00:00"/>
    <s v="M"/>
    <x v="3"/>
    <x v="2"/>
    <x v="0"/>
    <x v="8"/>
    <n v="2"/>
    <x v="3"/>
    <x v="1"/>
  </r>
  <r>
    <s v="TX500542"/>
    <x v="8"/>
    <x v="12"/>
    <n v="18"/>
    <n v="72"/>
    <x v="22"/>
    <d v="2025-01-24T00:00:00"/>
    <s v="M"/>
    <x v="1"/>
    <x v="0"/>
    <x v="0"/>
    <x v="10"/>
    <n v="1"/>
    <x v="3"/>
    <x v="1"/>
  </r>
  <r>
    <s v="TX500543"/>
    <x v="9"/>
    <x v="2"/>
    <n v="45.9"/>
    <n v="137.69999999999999"/>
    <x v="22"/>
    <d v="2025-01-25T00:00:00"/>
    <s v="F"/>
    <x v="1"/>
    <x v="1"/>
    <x v="0"/>
    <x v="10"/>
    <n v="2"/>
    <x v="3"/>
    <x v="2"/>
  </r>
  <r>
    <s v="TX500544"/>
    <x v="11"/>
    <x v="0"/>
    <n v="41.2"/>
    <n v="41.2"/>
    <x v="22"/>
    <d v="2025-01-25T00:00:00"/>
    <s v="F"/>
    <x v="1"/>
    <x v="2"/>
    <x v="0"/>
    <x v="11"/>
    <n v="2"/>
    <x v="3"/>
    <x v="2"/>
  </r>
  <r>
    <s v="TX500545"/>
    <x v="2"/>
    <x v="7"/>
    <n v="167.2"/>
    <n v="1672"/>
    <x v="22"/>
    <d v="2025-01-25T00:00:00"/>
    <s v="F"/>
    <x v="2"/>
    <x v="2"/>
    <x v="0"/>
    <x v="32"/>
    <n v="2"/>
    <x v="3"/>
    <x v="2"/>
  </r>
  <r>
    <s v="TX500546"/>
    <x v="6"/>
    <x v="17"/>
    <n v="74.5"/>
    <n v="2235"/>
    <x v="23"/>
    <d v="2025-01-27T00:00:00"/>
    <s v="F"/>
    <x v="1"/>
    <x v="2"/>
    <x v="0"/>
    <x v="38"/>
    <n v="3"/>
    <x v="3"/>
    <x v="2"/>
  </r>
  <r>
    <s v="TX500547"/>
    <x v="7"/>
    <x v="12"/>
    <n v="39.299999999999997"/>
    <n v="157.19999999999999"/>
    <x v="23"/>
    <d v="2025-01-25T00:00:00"/>
    <s v=""/>
    <x v="2"/>
    <x v="0"/>
    <x v="0"/>
    <x v="19"/>
    <n v="1"/>
    <x v="3"/>
    <x v="0"/>
  </r>
  <r>
    <s v="TX500548"/>
    <x v="9"/>
    <x v="0"/>
    <n v="68.5"/>
    <n v="68.5"/>
    <x v="23"/>
    <d v="2025-01-27T00:00:00"/>
    <s v="M"/>
    <x v="1"/>
    <x v="2"/>
    <x v="0"/>
    <x v="12"/>
    <n v="3"/>
    <x v="3"/>
    <x v="1"/>
  </r>
  <r>
    <s v="TX500549"/>
    <x v="0"/>
    <x v="2"/>
    <n v="22.5"/>
    <n v="67.5"/>
    <x v="23"/>
    <d v="2025-01-24T00:00:00"/>
    <s v="F"/>
    <x v="4"/>
    <x v="0"/>
    <x v="0"/>
    <x v="13"/>
    <n v="0"/>
    <x v="3"/>
    <x v="2"/>
  </r>
  <r>
    <s v="TX500550"/>
    <x v="1"/>
    <x v="0"/>
    <n v="48"/>
    <n v="48"/>
    <x v="23"/>
    <d v="2025-01-25T00:00:00"/>
    <s v="O"/>
    <x v="4"/>
    <x v="1"/>
    <x v="0"/>
    <x v="46"/>
    <n v="1"/>
    <x v="3"/>
    <x v="3"/>
  </r>
  <r>
    <s v="TX500551"/>
    <x v="6"/>
    <x v="0"/>
    <n v="94"/>
    <n v="94"/>
    <x v="23"/>
    <d v="2025-01-25T00:00:00"/>
    <s v="M"/>
    <x v="3"/>
    <x v="1"/>
    <x v="0"/>
    <x v="1"/>
    <n v="1"/>
    <x v="3"/>
    <x v="1"/>
  </r>
  <r>
    <s v="TX500552"/>
    <x v="8"/>
    <x v="2"/>
    <n v="21.9"/>
    <n v="65.699999999999989"/>
    <x v="23"/>
    <d v="2025-01-25T00:00:00"/>
    <s v="F"/>
    <x v="0"/>
    <x v="0"/>
    <x v="0"/>
    <x v="44"/>
    <n v="1"/>
    <x v="3"/>
    <x v="2"/>
  </r>
  <r>
    <s v="TX500553"/>
    <x v="6"/>
    <x v="3"/>
    <n v="64.900000000000006"/>
    <n v="454.30000000000007"/>
    <x v="23"/>
    <d v="2025-01-25T00:00:00"/>
    <s v="F"/>
    <x v="0"/>
    <x v="0"/>
    <x v="0"/>
    <x v="3"/>
    <n v="1"/>
    <x v="3"/>
    <x v="2"/>
  </r>
  <r>
    <s v="TX500554"/>
    <x v="12"/>
    <x v="0"/>
    <n v="52.9"/>
    <n v="52.9"/>
    <x v="23"/>
    <d v="2025-01-24T00:00:00"/>
    <s v="F"/>
    <x v="1"/>
    <x v="1"/>
    <x v="0"/>
    <x v="3"/>
    <n v="0"/>
    <x v="3"/>
    <x v="2"/>
  </r>
  <r>
    <s v="TX500555"/>
    <x v="8"/>
    <x v="2"/>
    <n v="25.5"/>
    <n v="76.5"/>
    <x v="23"/>
    <d v="2025-01-25T00:00:00"/>
    <s v="F"/>
    <x v="1"/>
    <x v="2"/>
    <x v="0"/>
    <x v="3"/>
    <n v="1"/>
    <x v="3"/>
    <x v="2"/>
  </r>
  <r>
    <s v="TX500556"/>
    <x v="6"/>
    <x v="2"/>
    <n v="51.9"/>
    <n v="155.69999999999999"/>
    <x v="23"/>
    <d v="2025-01-25T00:00:00"/>
    <s v="F"/>
    <x v="3"/>
    <x v="0"/>
    <x v="0"/>
    <x v="3"/>
    <n v="1"/>
    <x v="3"/>
    <x v="2"/>
  </r>
  <r>
    <s v="TX500557"/>
    <x v="5"/>
    <x v="0"/>
    <n v="46.3"/>
    <n v="46.3"/>
    <x v="23"/>
    <d v="2025-01-27T00:00:00"/>
    <s v="F"/>
    <x v="4"/>
    <x v="0"/>
    <x v="0"/>
    <x v="3"/>
    <n v="3"/>
    <x v="3"/>
    <x v="2"/>
  </r>
  <r>
    <s v="TX500558"/>
    <x v="6"/>
    <x v="1"/>
    <n v="68.2"/>
    <n v="136.4"/>
    <x v="23"/>
    <d v="2025-01-26T00:00:00"/>
    <s v="F"/>
    <x v="3"/>
    <x v="0"/>
    <x v="0"/>
    <x v="3"/>
    <n v="2"/>
    <x v="3"/>
    <x v="2"/>
  </r>
  <r>
    <s v="TX500559"/>
    <x v="1"/>
    <x v="0"/>
    <n v="40.299999999999997"/>
    <n v="40.299999999999997"/>
    <x v="23"/>
    <d v="2025-01-25T00:00:00"/>
    <s v="M"/>
    <x v="0"/>
    <x v="1"/>
    <x v="0"/>
    <x v="3"/>
    <n v="1"/>
    <x v="3"/>
    <x v="1"/>
  </r>
  <r>
    <s v="TX500560"/>
    <x v="2"/>
    <x v="2"/>
    <n v="91.3"/>
    <n v="273.89999999999998"/>
    <x v="23"/>
    <d v="2025-01-29T00:00:00"/>
    <s v="M"/>
    <x v="0"/>
    <x v="2"/>
    <x v="0"/>
    <x v="6"/>
    <n v="5"/>
    <x v="3"/>
    <x v="1"/>
  </r>
  <r>
    <s v="TX500561"/>
    <x v="0"/>
    <x v="2"/>
    <n v="11.9"/>
    <n v="35.700000000000003"/>
    <x v="23"/>
    <d v="2025-01-25T00:00:00"/>
    <s v="F"/>
    <x v="0"/>
    <x v="1"/>
    <x v="0"/>
    <x v="6"/>
    <n v="1"/>
    <x v="3"/>
    <x v="2"/>
  </r>
  <r>
    <s v="TX500562"/>
    <x v="2"/>
    <x v="1"/>
    <n v="63.5"/>
    <n v="127"/>
    <x v="23"/>
    <d v="2025-01-26T00:00:00"/>
    <s v="M"/>
    <x v="1"/>
    <x v="0"/>
    <x v="0"/>
    <x v="6"/>
    <n v="2"/>
    <x v="3"/>
    <x v="1"/>
  </r>
  <r>
    <s v="TX500563"/>
    <x v="4"/>
    <x v="1"/>
    <n v="27.1"/>
    <n v="54.2"/>
    <x v="23"/>
    <d v="2025-01-27T00:00:00"/>
    <s v="M"/>
    <x v="2"/>
    <x v="2"/>
    <x v="0"/>
    <x v="6"/>
    <n v="3"/>
    <x v="3"/>
    <x v="1"/>
  </r>
  <r>
    <s v="TX500564"/>
    <x v="1"/>
    <x v="1"/>
    <n v="82.1"/>
    <n v="164.2"/>
    <x v="24"/>
    <d v="2025-01-28T00:00:00"/>
    <s v="M"/>
    <x v="1"/>
    <x v="1"/>
    <x v="0"/>
    <x v="7"/>
    <n v="3"/>
    <x v="3"/>
    <x v="1"/>
  </r>
  <r>
    <s v="TX500565"/>
    <x v="3"/>
    <x v="9"/>
    <n v="42.9"/>
    <n v="214.5"/>
    <x v="24"/>
    <d v="2025-01-27T00:00:00"/>
    <s v="F"/>
    <x v="1"/>
    <x v="0"/>
    <x v="0"/>
    <x v="8"/>
    <n v="2"/>
    <x v="3"/>
    <x v="2"/>
  </r>
  <r>
    <s v="TX500566"/>
    <x v="8"/>
    <x v="5"/>
    <n v="37.9"/>
    <n v="416.9"/>
    <x v="24"/>
    <d v="2025-02-01T00:00:00"/>
    <s v="M"/>
    <x v="0"/>
    <x v="0"/>
    <x v="0"/>
    <x v="8"/>
    <n v="7"/>
    <x v="3"/>
    <x v="1"/>
  </r>
  <r>
    <s v="TX500567"/>
    <x v="0"/>
    <x v="0"/>
    <n v="22.4"/>
    <n v="22.4"/>
    <x v="24"/>
    <d v="2025-01-26T00:00:00"/>
    <s v="F"/>
    <x v="0"/>
    <x v="1"/>
    <x v="0"/>
    <x v="17"/>
    <n v="1"/>
    <x v="3"/>
    <x v="2"/>
  </r>
  <r>
    <s v="TX500568"/>
    <x v="2"/>
    <x v="15"/>
    <n v="79.900000000000006"/>
    <n v="1038.7"/>
    <x v="24"/>
    <d v="2025-02-07T00:00:00"/>
    <s v="F"/>
    <x v="3"/>
    <x v="1"/>
    <x v="0"/>
    <x v="11"/>
    <n v="13"/>
    <x v="3"/>
    <x v="2"/>
  </r>
  <r>
    <s v="TX500569"/>
    <x v="1"/>
    <x v="0"/>
    <n v="70.599999999999994"/>
    <n v="70.599999999999994"/>
    <x v="24"/>
    <d v="2025-01-28T00:00:00"/>
    <s v="F"/>
    <x v="0"/>
    <x v="1"/>
    <x v="0"/>
    <x v="11"/>
    <n v="3"/>
    <x v="3"/>
    <x v="2"/>
  </r>
  <r>
    <s v="TX500570"/>
    <x v="6"/>
    <x v="0"/>
    <n v="49.5"/>
    <n v="49.5"/>
    <x v="24"/>
    <d v="2025-01-27T00:00:00"/>
    <s v="M"/>
    <x v="0"/>
    <x v="0"/>
    <x v="0"/>
    <x v="13"/>
    <n v="2"/>
    <x v="3"/>
    <x v="1"/>
  </r>
  <r>
    <s v="TX500571"/>
    <x v="2"/>
    <x v="1"/>
    <n v="96.6"/>
    <n v="193.2"/>
    <x v="24"/>
    <d v="2025-01-27T00:00:00"/>
    <s v="M"/>
    <x v="0"/>
    <x v="0"/>
    <x v="0"/>
    <x v="21"/>
    <n v="2"/>
    <x v="3"/>
    <x v="1"/>
  </r>
  <r>
    <s v="TX500572"/>
    <x v="6"/>
    <x v="1"/>
    <n v="52.8"/>
    <n v="105.6"/>
    <x v="24"/>
    <d v="2025-01-26T00:00:00"/>
    <s v="F"/>
    <x v="1"/>
    <x v="1"/>
    <x v="0"/>
    <x v="21"/>
    <n v="1"/>
    <x v="3"/>
    <x v="2"/>
  </r>
  <r>
    <s v="TX500573"/>
    <x v="2"/>
    <x v="0"/>
    <n v="101.7"/>
    <n v="101.7"/>
    <x v="24"/>
    <d v="2025-01-26T00:00:00"/>
    <s v="M"/>
    <x v="0"/>
    <x v="0"/>
    <x v="0"/>
    <x v="1"/>
    <n v="1"/>
    <x v="3"/>
    <x v="1"/>
  </r>
  <r>
    <s v="TX500574"/>
    <x v="4"/>
    <x v="9"/>
    <n v="26.9"/>
    <n v="134.5"/>
    <x v="24"/>
    <d v="2025-01-30T00:00:00"/>
    <s v="F"/>
    <x v="1"/>
    <x v="1"/>
    <x v="0"/>
    <x v="22"/>
    <n v="5"/>
    <x v="3"/>
    <x v="2"/>
  </r>
  <r>
    <s v="TX500575"/>
    <x v="2"/>
    <x v="12"/>
    <n v="211"/>
    <n v="844"/>
    <x v="24"/>
    <d v="2025-01-25T00:00:00"/>
    <s v="F"/>
    <x v="1"/>
    <x v="1"/>
    <x v="0"/>
    <x v="3"/>
    <n v="0"/>
    <x v="3"/>
    <x v="2"/>
  </r>
  <r>
    <s v="TX500576"/>
    <x v="0"/>
    <x v="12"/>
    <n v="21.1"/>
    <n v="84.4"/>
    <x v="24"/>
    <d v="2025-01-28T00:00:00"/>
    <s v="M"/>
    <x v="4"/>
    <x v="0"/>
    <x v="0"/>
    <x v="3"/>
    <n v="3"/>
    <x v="3"/>
    <x v="1"/>
  </r>
  <r>
    <s v="TX500577"/>
    <x v="10"/>
    <x v="0"/>
    <n v="26.6"/>
    <n v="26.6"/>
    <x v="24"/>
    <d v="2025-01-27T00:00:00"/>
    <s v="M"/>
    <x v="0"/>
    <x v="4"/>
    <x v="0"/>
    <x v="3"/>
    <n v="2"/>
    <x v="3"/>
    <x v="1"/>
  </r>
  <r>
    <s v="TX500578"/>
    <x v="12"/>
    <x v="12"/>
    <n v="51.2"/>
    <n v="204.8"/>
    <x v="24"/>
    <d v="2025-01-26T00:00:00"/>
    <s v="F"/>
    <x v="3"/>
    <x v="0"/>
    <x v="0"/>
    <x v="47"/>
    <n v="1"/>
    <x v="3"/>
    <x v="2"/>
  </r>
  <r>
    <s v="TX500579"/>
    <x v="0"/>
    <x v="9"/>
    <n v="10.6"/>
    <n v="53"/>
    <x v="24"/>
    <d v="2025-01-29T00:00:00"/>
    <s v="F"/>
    <x v="0"/>
    <x v="0"/>
    <x v="0"/>
    <x v="8"/>
    <n v="4"/>
    <x v="3"/>
    <x v="2"/>
  </r>
  <r>
    <s v="TX500580"/>
    <x v="6"/>
    <x v="2"/>
    <n v="43.4"/>
    <n v="130.19999999999999"/>
    <x v="24"/>
    <d v="2025-01-28T00:00:00"/>
    <s v="F"/>
    <x v="4"/>
    <x v="0"/>
    <x v="0"/>
    <x v="8"/>
    <n v="3"/>
    <x v="3"/>
    <x v="2"/>
  </r>
  <r>
    <s v="TX500581"/>
    <x v="12"/>
    <x v="0"/>
    <n v="80"/>
    <n v="80"/>
    <x v="24"/>
    <d v="2025-01-25T00:00:00"/>
    <s v="F"/>
    <x v="0"/>
    <x v="2"/>
    <x v="0"/>
    <x v="8"/>
    <n v="0"/>
    <x v="3"/>
    <x v="2"/>
  </r>
  <r>
    <s v="TX500582"/>
    <x v="10"/>
    <x v="12"/>
    <n v="64.7"/>
    <n v="258.8"/>
    <x v="24"/>
    <d v="2025-01-27T00:00:00"/>
    <s v="F"/>
    <x v="1"/>
    <x v="4"/>
    <x v="0"/>
    <x v="8"/>
    <n v="2"/>
    <x v="3"/>
    <x v="2"/>
  </r>
  <r>
    <s v="TX500583"/>
    <x v="8"/>
    <x v="5"/>
    <n v="26.3"/>
    <n v="289.3"/>
    <x v="25"/>
    <d v="2025-01-26T00:00:00"/>
    <s v="F"/>
    <x v="4"/>
    <x v="1"/>
    <x v="0"/>
    <x v="26"/>
    <n v="0"/>
    <x v="4"/>
    <x v="2"/>
  </r>
  <r>
    <s v="TX500584"/>
    <x v="10"/>
    <x v="0"/>
    <n v="28.5"/>
    <n v="28.5"/>
    <x v="25"/>
    <d v="2025-01-26T00:00:00"/>
    <s v="M"/>
    <x v="0"/>
    <x v="1"/>
    <x v="0"/>
    <x v="9"/>
    <n v="0"/>
    <x v="4"/>
    <x v="1"/>
  </r>
  <r>
    <s v="TX500585"/>
    <x v="17"/>
    <x v="0"/>
    <n v="47.8"/>
    <n v="47.8"/>
    <x v="25"/>
    <d v="2025-01-28T00:00:00"/>
    <s v="F"/>
    <x v="0"/>
    <x v="1"/>
    <x v="0"/>
    <x v="9"/>
    <n v="2"/>
    <x v="4"/>
    <x v="2"/>
  </r>
  <r>
    <s v="TX500586"/>
    <x v="10"/>
    <x v="2"/>
    <n v="42.8"/>
    <n v="128.39999999999998"/>
    <x v="25"/>
    <d v="2025-01-29T00:00:00"/>
    <s v="F"/>
    <x v="4"/>
    <x v="1"/>
    <x v="0"/>
    <x v="11"/>
    <n v="3"/>
    <x v="4"/>
    <x v="2"/>
  </r>
  <r>
    <s v="TX500587"/>
    <x v="6"/>
    <x v="9"/>
    <n v="46.8"/>
    <n v="234"/>
    <x v="25"/>
    <d v="2025-01-31T00:00:00"/>
    <s v="F"/>
    <x v="1"/>
    <x v="2"/>
    <x v="0"/>
    <x v="11"/>
    <n v="5"/>
    <x v="4"/>
    <x v="2"/>
  </r>
  <r>
    <s v="TX500588"/>
    <x v="1"/>
    <x v="7"/>
    <n v="64.099999999999994"/>
    <n v="641"/>
    <x v="25"/>
    <d v="2025-01-27T00:00:00"/>
    <s v="M"/>
    <x v="1"/>
    <x v="0"/>
    <x v="0"/>
    <x v="11"/>
    <n v="1"/>
    <x v="4"/>
    <x v="1"/>
  </r>
  <r>
    <s v="TX500589"/>
    <x v="2"/>
    <x v="0"/>
    <n v="89.1"/>
    <n v="89.1"/>
    <x v="25"/>
    <d v="2025-01-27T00:00:00"/>
    <s v="F"/>
    <x v="0"/>
    <x v="1"/>
    <x v="0"/>
    <x v="20"/>
    <n v="1"/>
    <x v="4"/>
    <x v="2"/>
  </r>
  <r>
    <s v="TX500590"/>
    <x v="2"/>
    <x v="2"/>
    <n v="83.1"/>
    <n v="249.29999999999998"/>
    <x v="25"/>
    <d v="2025-01-27T00:00:00"/>
    <s v="F"/>
    <x v="2"/>
    <x v="1"/>
    <x v="0"/>
    <x v="13"/>
    <n v="1"/>
    <x v="4"/>
    <x v="2"/>
  </r>
  <r>
    <s v="TX500591"/>
    <x v="8"/>
    <x v="2"/>
    <n v="40.9"/>
    <n v="122.69999999999999"/>
    <x v="25"/>
    <d v="2025-01-27T00:00:00"/>
    <s v="M"/>
    <x v="0"/>
    <x v="0"/>
    <x v="0"/>
    <x v="1"/>
    <n v="1"/>
    <x v="4"/>
    <x v="1"/>
  </r>
  <r>
    <s v="TX500592"/>
    <x v="2"/>
    <x v="1"/>
    <n v="125.7"/>
    <n v="251.4"/>
    <x v="25"/>
    <d v="2025-01-27T00:00:00"/>
    <s v="F"/>
    <x v="3"/>
    <x v="0"/>
    <x v="0"/>
    <x v="2"/>
    <n v="1"/>
    <x v="4"/>
    <x v="2"/>
  </r>
  <r>
    <s v="TX500593"/>
    <x v="3"/>
    <x v="1"/>
    <n v="30.9"/>
    <n v="61.8"/>
    <x v="25"/>
    <d v="2025-01-26T00:00:00"/>
    <s v="F"/>
    <x v="2"/>
    <x v="2"/>
    <x v="0"/>
    <x v="22"/>
    <n v="0"/>
    <x v="4"/>
    <x v="2"/>
  </r>
  <r>
    <s v="TX500594"/>
    <x v="8"/>
    <x v="1"/>
    <n v="18.3"/>
    <n v="36.6"/>
    <x v="25"/>
    <d v="2025-01-27T00:00:00"/>
    <s v="F"/>
    <x v="1"/>
    <x v="0"/>
    <x v="0"/>
    <x v="3"/>
    <n v="1"/>
    <x v="4"/>
    <x v="2"/>
  </r>
  <r>
    <s v="TX500595"/>
    <x v="4"/>
    <x v="1"/>
    <n v="56.5"/>
    <n v="113"/>
    <x v="25"/>
    <d v="2025-01-30T00:00:00"/>
    <s v="M"/>
    <x v="2"/>
    <x v="2"/>
    <x v="0"/>
    <x v="3"/>
    <n v="4"/>
    <x v="4"/>
    <x v="1"/>
  </r>
  <r>
    <s v="TX500596"/>
    <x v="10"/>
    <x v="3"/>
    <n v="29.9"/>
    <n v="209.29999999999998"/>
    <x v="25"/>
    <d v="2025-01-28T00:00:00"/>
    <s v="M"/>
    <x v="4"/>
    <x v="2"/>
    <x v="0"/>
    <x v="3"/>
    <n v="2"/>
    <x v="4"/>
    <x v="1"/>
  </r>
  <r>
    <s v="TX500597"/>
    <x v="5"/>
    <x v="1"/>
    <n v="50.4"/>
    <n v="100.8"/>
    <x v="25"/>
    <d v="2025-01-27T00:00:00"/>
    <s v="F"/>
    <x v="2"/>
    <x v="0"/>
    <x v="0"/>
    <x v="3"/>
    <n v="1"/>
    <x v="4"/>
    <x v="2"/>
  </r>
  <r>
    <s v="TX500598"/>
    <x v="2"/>
    <x v="0"/>
    <n v="85.8"/>
    <n v="85.8"/>
    <x v="25"/>
    <d v="2025-01-26T00:00:00"/>
    <s v="F"/>
    <x v="2"/>
    <x v="2"/>
    <x v="0"/>
    <x v="3"/>
    <n v="0"/>
    <x v="4"/>
    <x v="2"/>
  </r>
  <r>
    <s v="TX500599"/>
    <x v="4"/>
    <x v="27"/>
    <n v="66.599999999999994"/>
    <n v="1065.5999999999999"/>
    <x v="25"/>
    <d v="2025-01-28T00:00:00"/>
    <s v="M"/>
    <x v="1"/>
    <x v="0"/>
    <x v="0"/>
    <x v="3"/>
    <n v="2"/>
    <x v="4"/>
    <x v="1"/>
  </r>
  <r>
    <s v="TX500600"/>
    <x v="6"/>
    <x v="12"/>
    <n v="70.3"/>
    <n v="281.2"/>
    <x v="25"/>
    <d v="2025-01-27T00:00:00"/>
    <s v="F"/>
    <x v="0"/>
    <x v="1"/>
    <x v="0"/>
    <x v="3"/>
    <n v="1"/>
    <x v="4"/>
    <x v="2"/>
  </r>
  <r>
    <s v="TX500601"/>
    <x v="8"/>
    <x v="12"/>
    <n v="31"/>
    <n v="124"/>
    <x v="25"/>
    <d v="2025-01-29T00:00:00"/>
    <s v="M"/>
    <x v="0"/>
    <x v="2"/>
    <x v="0"/>
    <x v="3"/>
    <n v="3"/>
    <x v="4"/>
    <x v="1"/>
  </r>
  <r>
    <s v="TX500602"/>
    <x v="7"/>
    <x v="13"/>
    <n v="81.599999999999994"/>
    <n v="489.59999999999997"/>
    <x v="25"/>
    <d v="2025-01-27T00:00:00"/>
    <s v="F"/>
    <x v="1"/>
    <x v="1"/>
    <x v="0"/>
    <x v="37"/>
    <n v="1"/>
    <x v="4"/>
    <x v="2"/>
  </r>
  <r>
    <s v="TX500603"/>
    <x v="1"/>
    <x v="30"/>
    <n v="58.3"/>
    <n v="1457.5"/>
    <x v="25"/>
    <d v="2025-01-27T00:00:00"/>
    <s v="F"/>
    <x v="0"/>
    <x v="0"/>
    <x v="0"/>
    <x v="16"/>
    <n v="1"/>
    <x v="4"/>
    <x v="2"/>
  </r>
  <r>
    <s v="TX500604"/>
    <x v="1"/>
    <x v="12"/>
    <n v="35.1"/>
    <n v="140.4"/>
    <x v="25"/>
    <d v="2025-01-28T00:00:00"/>
    <s v="M"/>
    <x v="0"/>
    <x v="2"/>
    <x v="0"/>
    <x v="8"/>
    <n v="2"/>
    <x v="4"/>
    <x v="1"/>
  </r>
  <r>
    <s v="TX500605"/>
    <x v="2"/>
    <x v="0"/>
    <n v="80.2"/>
    <n v="80.2"/>
    <x v="25"/>
    <d v="2025-01-27T00:00:00"/>
    <s v="M"/>
    <x v="3"/>
    <x v="2"/>
    <x v="0"/>
    <x v="8"/>
    <n v="1"/>
    <x v="4"/>
    <x v="1"/>
  </r>
  <r>
    <s v="TX500606"/>
    <x v="14"/>
    <x v="2"/>
    <n v="39.200000000000003"/>
    <n v="117.60000000000001"/>
    <x v="25"/>
    <d v="2025-01-28T00:00:00"/>
    <s v="F"/>
    <x v="1"/>
    <x v="0"/>
    <x v="0"/>
    <x v="9"/>
    <n v="2"/>
    <x v="4"/>
    <x v="2"/>
  </r>
  <r>
    <s v="TX500607"/>
    <x v="0"/>
    <x v="1"/>
    <n v="15.4"/>
    <n v="30.8"/>
    <x v="25"/>
    <d v="2025-01-26T00:00:00"/>
    <s v="F"/>
    <x v="3"/>
    <x v="0"/>
    <x v="0"/>
    <x v="48"/>
    <n v="0"/>
    <x v="4"/>
    <x v="2"/>
  </r>
  <r>
    <s v="TX500608"/>
    <x v="3"/>
    <x v="2"/>
    <n v="65.400000000000006"/>
    <n v="196.20000000000002"/>
    <x v="25"/>
    <d v="2025-01-29T00:00:00"/>
    <s v="M"/>
    <x v="3"/>
    <x v="0"/>
    <x v="0"/>
    <x v="18"/>
    <n v="3"/>
    <x v="4"/>
    <x v="1"/>
  </r>
  <r>
    <s v="TX500609"/>
    <x v="1"/>
    <x v="8"/>
    <n v="63.2"/>
    <n v="505.6"/>
    <x v="25"/>
    <d v="2025-01-28T00:00:00"/>
    <s v="F"/>
    <x v="1"/>
    <x v="0"/>
    <x v="0"/>
    <x v="19"/>
    <n v="2"/>
    <x v="4"/>
    <x v="2"/>
  </r>
  <r>
    <s v="TX500610"/>
    <x v="1"/>
    <x v="13"/>
    <n v="35.700000000000003"/>
    <n v="214.20000000000002"/>
    <x v="25"/>
    <d v="2025-01-30T00:00:00"/>
    <s v="F"/>
    <x v="4"/>
    <x v="1"/>
    <x v="0"/>
    <x v="19"/>
    <n v="4"/>
    <x v="4"/>
    <x v="2"/>
  </r>
  <r>
    <s v="TX500611"/>
    <x v="0"/>
    <x v="28"/>
    <n v="26.2"/>
    <n v="524"/>
    <x v="25"/>
    <d v="2025-01-27T00:00:00"/>
    <s v="F"/>
    <x v="3"/>
    <x v="0"/>
    <x v="0"/>
    <x v="21"/>
    <n v="1"/>
    <x v="4"/>
    <x v="2"/>
  </r>
  <r>
    <s v="TX500612"/>
    <x v="7"/>
    <x v="1"/>
    <n v="31"/>
    <n v="62"/>
    <x v="25"/>
    <d v="2025-01-27T00:00:00"/>
    <s v="F"/>
    <x v="0"/>
    <x v="2"/>
    <x v="0"/>
    <x v="1"/>
    <n v="1"/>
    <x v="4"/>
    <x v="2"/>
  </r>
  <r>
    <s v="TX500613"/>
    <x v="8"/>
    <x v="12"/>
    <n v="37.700000000000003"/>
    <n v="150.80000000000001"/>
    <x v="25"/>
    <d v="2025-01-27T00:00:00"/>
    <s v="F"/>
    <x v="1"/>
    <x v="0"/>
    <x v="0"/>
    <x v="22"/>
    <n v="1"/>
    <x v="4"/>
    <x v="2"/>
  </r>
  <r>
    <s v="TX500614"/>
    <x v="10"/>
    <x v="33"/>
    <n v="43.6"/>
    <n v="1482.4"/>
    <x v="25"/>
    <d v="2025-01-28T00:00:00"/>
    <s v="F"/>
    <x v="4"/>
    <x v="1"/>
    <x v="0"/>
    <x v="3"/>
    <n v="2"/>
    <x v="4"/>
    <x v="2"/>
  </r>
  <r>
    <s v="TX500615"/>
    <x v="9"/>
    <x v="12"/>
    <n v="26.5"/>
    <n v="106"/>
    <x v="25"/>
    <d v="2025-01-28T00:00:00"/>
    <s v="M"/>
    <x v="0"/>
    <x v="4"/>
    <x v="0"/>
    <x v="3"/>
    <n v="2"/>
    <x v="4"/>
    <x v="1"/>
  </r>
  <r>
    <s v="TX500616"/>
    <x v="0"/>
    <x v="1"/>
    <n v="34.6"/>
    <n v="69.2"/>
    <x v="25"/>
    <d v="2025-01-27T00:00:00"/>
    <s v="M"/>
    <x v="4"/>
    <x v="1"/>
    <x v="0"/>
    <x v="3"/>
    <n v="1"/>
    <x v="4"/>
    <x v="1"/>
  </r>
  <r>
    <s v="TX500617"/>
    <x v="8"/>
    <x v="1"/>
    <n v="58.2"/>
    <n v="116.4"/>
    <x v="25"/>
    <d v="2025-01-27T00:00:00"/>
    <s v="M"/>
    <x v="2"/>
    <x v="2"/>
    <x v="0"/>
    <x v="3"/>
    <n v="1"/>
    <x v="4"/>
    <x v="1"/>
  </r>
  <r>
    <s v="TX500618"/>
    <x v="7"/>
    <x v="0"/>
    <n v="30.2"/>
    <n v="30.2"/>
    <x v="26"/>
    <d v="2025-01-28T00:00:00"/>
    <s v="F"/>
    <x v="2"/>
    <x v="1"/>
    <x v="0"/>
    <x v="3"/>
    <n v="1"/>
    <x v="4"/>
    <x v="2"/>
  </r>
  <r>
    <s v="TX500619"/>
    <x v="1"/>
    <x v="7"/>
    <n v="53.2"/>
    <n v="532"/>
    <x v="26"/>
    <d v="2025-01-28T00:00:00"/>
    <s v="M"/>
    <x v="0"/>
    <x v="2"/>
    <x v="0"/>
    <x v="5"/>
    <n v="1"/>
    <x v="4"/>
    <x v="1"/>
  </r>
  <r>
    <s v="TX500620"/>
    <x v="12"/>
    <x v="13"/>
    <n v="51.1"/>
    <n v="306.60000000000002"/>
    <x v="26"/>
    <d v="2025-01-27T00:00:00"/>
    <s v="M"/>
    <x v="1"/>
    <x v="2"/>
    <x v="0"/>
    <x v="5"/>
    <n v="0"/>
    <x v="4"/>
    <x v="1"/>
  </r>
  <r>
    <s v="TX500621"/>
    <x v="1"/>
    <x v="0"/>
    <n v="105.4"/>
    <n v="105.4"/>
    <x v="26"/>
    <d v="2025-01-31T00:00:00"/>
    <s v="F"/>
    <x v="1"/>
    <x v="2"/>
    <x v="0"/>
    <x v="23"/>
    <n v="4"/>
    <x v="4"/>
    <x v="2"/>
  </r>
  <r>
    <s v="TX500622"/>
    <x v="7"/>
    <x v="0"/>
    <n v="57.7"/>
    <n v="57.7"/>
    <x v="26"/>
    <d v="2025-01-27T00:00:00"/>
    <s v="M"/>
    <x v="0"/>
    <x v="4"/>
    <x v="0"/>
    <x v="8"/>
    <n v="0"/>
    <x v="4"/>
    <x v="1"/>
  </r>
  <r>
    <s v="TX500623"/>
    <x v="15"/>
    <x v="1"/>
    <n v="72.400000000000006"/>
    <n v="144.80000000000001"/>
    <x v="26"/>
    <d v="2025-02-01T00:00:00"/>
    <s v="F"/>
    <x v="0"/>
    <x v="0"/>
    <x v="0"/>
    <x v="17"/>
    <n v="5"/>
    <x v="4"/>
    <x v="2"/>
  </r>
  <r>
    <s v="TX500624"/>
    <x v="6"/>
    <x v="1"/>
    <n v="62.5"/>
    <n v="125"/>
    <x v="26"/>
    <d v="2025-01-28T00:00:00"/>
    <s v=""/>
    <x v="0"/>
    <x v="2"/>
    <x v="0"/>
    <x v="11"/>
    <n v="1"/>
    <x v="4"/>
    <x v="0"/>
  </r>
  <r>
    <s v="TX500625"/>
    <x v="0"/>
    <x v="32"/>
    <n v="11.6"/>
    <n v="255.2"/>
    <x v="26"/>
    <d v="2025-01-29T00:00:00"/>
    <s v="F"/>
    <x v="3"/>
    <x v="2"/>
    <x v="0"/>
    <x v="18"/>
    <n v="2"/>
    <x v="4"/>
    <x v="2"/>
  </r>
  <r>
    <s v="TX500626"/>
    <x v="10"/>
    <x v="7"/>
    <n v="39.6"/>
    <n v="396"/>
    <x v="26"/>
    <d v="2025-01-29T00:00:00"/>
    <s v="F"/>
    <x v="2"/>
    <x v="2"/>
    <x v="0"/>
    <x v="18"/>
    <n v="2"/>
    <x v="4"/>
    <x v="2"/>
  </r>
  <r>
    <s v="TX500627"/>
    <x v="8"/>
    <x v="1"/>
    <n v="40.1"/>
    <n v="80.2"/>
    <x v="26"/>
    <d v="2025-01-28T00:00:00"/>
    <s v="F"/>
    <x v="2"/>
    <x v="0"/>
    <x v="0"/>
    <x v="18"/>
    <n v="1"/>
    <x v="4"/>
    <x v="2"/>
  </r>
  <r>
    <s v="TX500628"/>
    <x v="8"/>
    <x v="2"/>
    <n v="18.600000000000001"/>
    <n v="55.800000000000004"/>
    <x v="26"/>
    <d v="2025-01-28T00:00:00"/>
    <s v="F"/>
    <x v="2"/>
    <x v="0"/>
    <x v="0"/>
    <x v="21"/>
    <n v="1"/>
    <x v="4"/>
    <x v="2"/>
  </r>
  <r>
    <s v="TX500629"/>
    <x v="4"/>
    <x v="0"/>
    <n v="58.8"/>
    <n v="58.8"/>
    <x v="26"/>
    <d v="2025-01-29T00:00:00"/>
    <s v="F"/>
    <x v="0"/>
    <x v="1"/>
    <x v="0"/>
    <x v="21"/>
    <n v="2"/>
    <x v="4"/>
    <x v="2"/>
  </r>
  <r>
    <s v="TX500630"/>
    <x v="8"/>
    <x v="1"/>
    <n v="22.1"/>
    <n v="44.2"/>
    <x v="26"/>
    <d v="2025-01-30T00:00:00"/>
    <s v="M"/>
    <x v="1"/>
    <x v="2"/>
    <x v="0"/>
    <x v="21"/>
    <n v="3"/>
    <x v="4"/>
    <x v="1"/>
  </r>
  <r>
    <s v="TX500631"/>
    <x v="2"/>
    <x v="0"/>
    <n v="114.9"/>
    <n v="114.9"/>
    <x v="27"/>
    <d v="2025-01-29T00:00:00"/>
    <s v="F"/>
    <x v="1"/>
    <x v="1"/>
    <x v="0"/>
    <x v="22"/>
    <n v="1"/>
    <x v="4"/>
    <x v="2"/>
  </r>
  <r>
    <s v="TX500632"/>
    <x v="9"/>
    <x v="9"/>
    <n v="75.8"/>
    <n v="379"/>
    <x v="27"/>
    <d v="2025-01-29T00:00:00"/>
    <s v="M"/>
    <x v="0"/>
    <x v="2"/>
    <x v="0"/>
    <x v="3"/>
    <n v="1"/>
    <x v="4"/>
    <x v="1"/>
  </r>
  <r>
    <s v="TX500633"/>
    <x v="14"/>
    <x v="9"/>
    <n v="20.6"/>
    <n v="103"/>
    <x v="27"/>
    <d v="2025-01-29T00:00:00"/>
    <s v="M"/>
    <x v="2"/>
    <x v="2"/>
    <x v="0"/>
    <x v="3"/>
    <n v="1"/>
    <x v="4"/>
    <x v="1"/>
  </r>
  <r>
    <s v="TX500634"/>
    <x v="17"/>
    <x v="2"/>
    <n v="67.900000000000006"/>
    <n v="203.70000000000002"/>
    <x v="27"/>
    <d v="2025-01-29T00:00:00"/>
    <s v="F"/>
    <x v="1"/>
    <x v="1"/>
    <x v="0"/>
    <x v="3"/>
    <n v="1"/>
    <x v="4"/>
    <x v="2"/>
  </r>
  <r>
    <s v="TX500635"/>
    <x v="0"/>
    <x v="9"/>
    <n v="27"/>
    <n v="135"/>
    <x v="27"/>
    <d v="2025-02-04T00:00:00"/>
    <s v="F"/>
    <x v="0"/>
    <x v="2"/>
    <x v="0"/>
    <x v="3"/>
    <n v="7"/>
    <x v="4"/>
    <x v="2"/>
  </r>
  <r>
    <s v="TX500636"/>
    <x v="13"/>
    <x v="0"/>
    <n v="50.6"/>
    <n v="50.6"/>
    <x v="27"/>
    <d v="2025-01-28T00:00:00"/>
    <s v="M"/>
    <x v="0"/>
    <x v="1"/>
    <x v="0"/>
    <x v="3"/>
    <n v="0"/>
    <x v="4"/>
    <x v="1"/>
  </r>
  <r>
    <s v="TX500637"/>
    <x v="4"/>
    <x v="9"/>
    <n v="22.1"/>
    <n v="110.5"/>
    <x v="27"/>
    <d v="2025-02-02T00:00:00"/>
    <s v="M"/>
    <x v="0"/>
    <x v="0"/>
    <x v="0"/>
    <x v="3"/>
    <n v="5"/>
    <x v="4"/>
    <x v="1"/>
  </r>
  <r>
    <s v="TX500638"/>
    <x v="8"/>
    <x v="2"/>
    <n v="42.9"/>
    <n v="128.69999999999999"/>
    <x v="27"/>
    <d v="2025-01-30T00:00:00"/>
    <s v="F"/>
    <x v="0"/>
    <x v="0"/>
    <x v="0"/>
    <x v="3"/>
    <n v="2"/>
    <x v="4"/>
    <x v="2"/>
  </r>
  <r>
    <s v="TX500639"/>
    <x v="1"/>
    <x v="5"/>
    <n v="62.4"/>
    <n v="686.4"/>
    <x v="27"/>
    <d v="2025-01-30T00:00:00"/>
    <s v="F"/>
    <x v="2"/>
    <x v="0"/>
    <x v="0"/>
    <x v="3"/>
    <n v="2"/>
    <x v="4"/>
    <x v="2"/>
  </r>
  <r>
    <s v="TX500640"/>
    <x v="13"/>
    <x v="11"/>
    <n v="36.4"/>
    <n v="327.59999999999997"/>
    <x v="27"/>
    <d v="2025-01-30T00:00:00"/>
    <s v="F"/>
    <x v="0"/>
    <x v="2"/>
    <x v="0"/>
    <x v="3"/>
    <n v="2"/>
    <x v="4"/>
    <x v="2"/>
  </r>
  <r>
    <s v="TX500641"/>
    <x v="0"/>
    <x v="1"/>
    <n v="22.5"/>
    <n v="45"/>
    <x v="27"/>
    <d v="2025-01-31T00:00:00"/>
    <s v="M"/>
    <x v="0"/>
    <x v="0"/>
    <x v="0"/>
    <x v="3"/>
    <n v="3"/>
    <x v="4"/>
    <x v="1"/>
  </r>
  <r>
    <s v="TX500642"/>
    <x v="6"/>
    <x v="12"/>
    <n v="70.8"/>
    <n v="283.2"/>
    <x v="27"/>
    <d v="2025-01-30T00:00:00"/>
    <s v="F"/>
    <x v="4"/>
    <x v="0"/>
    <x v="0"/>
    <x v="3"/>
    <n v="2"/>
    <x v="4"/>
    <x v="2"/>
  </r>
  <r>
    <s v="TX500643"/>
    <x v="6"/>
    <x v="9"/>
    <n v="56.6"/>
    <n v="283"/>
    <x v="27"/>
    <d v="2025-01-30T00:00:00"/>
    <s v="M"/>
    <x v="0"/>
    <x v="1"/>
    <x v="0"/>
    <x v="4"/>
    <n v="2"/>
    <x v="4"/>
    <x v="1"/>
  </r>
  <r>
    <s v="TX500644"/>
    <x v="6"/>
    <x v="1"/>
    <n v="47.9"/>
    <n v="95.8"/>
    <x v="27"/>
    <d v="2025-01-29T00:00:00"/>
    <s v="F"/>
    <x v="0"/>
    <x v="0"/>
    <x v="0"/>
    <x v="6"/>
    <n v="1"/>
    <x v="4"/>
    <x v="2"/>
  </r>
  <r>
    <s v="TX500645"/>
    <x v="6"/>
    <x v="8"/>
    <n v="78.400000000000006"/>
    <n v="627.20000000000005"/>
    <x v="27"/>
    <d v="2025-01-30T00:00:00"/>
    <s v="F"/>
    <x v="1"/>
    <x v="0"/>
    <x v="0"/>
    <x v="6"/>
    <n v="2"/>
    <x v="4"/>
    <x v="2"/>
  </r>
  <r>
    <s v="TX500646"/>
    <x v="2"/>
    <x v="21"/>
    <n v="122.1"/>
    <n v="1709.3999999999999"/>
    <x v="27"/>
    <d v="2025-02-02T00:00:00"/>
    <s v="F"/>
    <x v="0"/>
    <x v="2"/>
    <x v="0"/>
    <x v="6"/>
    <n v="5"/>
    <x v="4"/>
    <x v="2"/>
  </r>
  <r>
    <s v="TX500647"/>
    <x v="2"/>
    <x v="1"/>
    <n v="83.7"/>
    <n v="167.4"/>
    <x v="28"/>
    <d v="2025-01-29T00:00:00"/>
    <s v=""/>
    <x v="1"/>
    <x v="2"/>
    <x v="0"/>
    <x v="7"/>
    <n v="0"/>
    <x v="4"/>
    <x v="0"/>
  </r>
  <r>
    <s v="TX500648"/>
    <x v="3"/>
    <x v="12"/>
    <n v="97.9"/>
    <n v="391.6"/>
    <x v="28"/>
    <d v="2025-02-02T00:00:00"/>
    <s v="F"/>
    <x v="3"/>
    <x v="2"/>
    <x v="0"/>
    <x v="7"/>
    <n v="4"/>
    <x v="4"/>
    <x v="2"/>
  </r>
  <r>
    <s v="TX500649"/>
    <x v="14"/>
    <x v="0"/>
    <n v="15"/>
    <n v="15"/>
    <x v="28"/>
    <d v="2025-02-03T00:00:00"/>
    <s v="F"/>
    <x v="3"/>
    <x v="0"/>
    <x v="0"/>
    <x v="8"/>
    <n v="5"/>
    <x v="4"/>
    <x v="2"/>
  </r>
  <r>
    <s v="TX500650"/>
    <x v="12"/>
    <x v="2"/>
    <n v="94.6"/>
    <n v="283.79999999999995"/>
    <x v="28"/>
    <d v="2025-01-30T00:00:00"/>
    <s v="M"/>
    <x v="2"/>
    <x v="1"/>
    <x v="0"/>
    <x v="8"/>
    <n v="1"/>
    <x v="4"/>
    <x v="1"/>
  </r>
  <r>
    <s v="TX500651"/>
    <x v="0"/>
    <x v="13"/>
    <n v="19.7"/>
    <n v="118.19999999999999"/>
    <x v="28"/>
    <d v="2025-02-09T00:00:00"/>
    <s v="F"/>
    <x v="0"/>
    <x v="2"/>
    <x v="0"/>
    <x v="8"/>
    <n v="11"/>
    <x v="4"/>
    <x v="2"/>
  </r>
  <r>
    <s v="TX500652"/>
    <x v="7"/>
    <x v="0"/>
    <n v="46.7"/>
    <n v="46.7"/>
    <x v="28"/>
    <d v="2025-02-01T00:00:00"/>
    <s v="F"/>
    <x v="2"/>
    <x v="0"/>
    <x v="0"/>
    <x v="17"/>
    <n v="3"/>
    <x v="4"/>
    <x v="2"/>
  </r>
  <r>
    <s v="TX500653"/>
    <x v="1"/>
    <x v="12"/>
    <n v="43"/>
    <n v="172"/>
    <x v="28"/>
    <d v="2025-01-30T00:00:00"/>
    <s v="M"/>
    <x v="2"/>
    <x v="2"/>
    <x v="0"/>
    <x v="17"/>
    <n v="1"/>
    <x v="4"/>
    <x v="1"/>
  </r>
  <r>
    <s v="TX500654"/>
    <x v="6"/>
    <x v="2"/>
    <n v="68.2"/>
    <n v="204.60000000000002"/>
    <x v="28"/>
    <d v="2025-02-04T00:00:00"/>
    <s v="F"/>
    <x v="0"/>
    <x v="0"/>
    <x v="0"/>
    <x v="9"/>
    <n v="6"/>
    <x v="4"/>
    <x v="2"/>
  </r>
  <r>
    <s v="TX500655"/>
    <x v="10"/>
    <x v="7"/>
    <n v="24.3"/>
    <n v="243"/>
    <x v="28"/>
    <d v="2025-01-30T00:00:00"/>
    <s v="M"/>
    <x v="0"/>
    <x v="2"/>
    <x v="0"/>
    <x v="10"/>
    <n v="1"/>
    <x v="4"/>
    <x v="1"/>
  </r>
  <r>
    <s v="TX500656"/>
    <x v="7"/>
    <x v="1"/>
    <n v="86.8"/>
    <n v="173.6"/>
    <x v="28"/>
    <d v="2025-02-02T00:00:00"/>
    <s v="F"/>
    <x v="4"/>
    <x v="2"/>
    <x v="0"/>
    <x v="11"/>
    <n v="4"/>
    <x v="4"/>
    <x v="2"/>
  </r>
  <r>
    <s v="TX500657"/>
    <x v="0"/>
    <x v="1"/>
    <n v="15.8"/>
    <n v="31.6"/>
    <x v="28"/>
    <d v="2025-01-31T00:00:00"/>
    <s v="M"/>
    <x v="1"/>
    <x v="0"/>
    <x v="0"/>
    <x v="11"/>
    <n v="2"/>
    <x v="4"/>
    <x v="1"/>
  </r>
  <r>
    <s v="TX500658"/>
    <x v="2"/>
    <x v="12"/>
    <n v="61.6"/>
    <n v="246.4"/>
    <x v="28"/>
    <d v="2025-01-30T00:00:00"/>
    <s v="M"/>
    <x v="2"/>
    <x v="0"/>
    <x v="0"/>
    <x v="11"/>
    <n v="1"/>
    <x v="4"/>
    <x v="1"/>
  </r>
  <r>
    <s v="TX500659"/>
    <x v="6"/>
    <x v="2"/>
    <n v="48.7"/>
    <n v="146.10000000000002"/>
    <x v="28"/>
    <d v="2025-02-04T00:00:00"/>
    <s v="F"/>
    <x v="1"/>
    <x v="2"/>
    <x v="0"/>
    <x v="45"/>
    <n v="6"/>
    <x v="4"/>
    <x v="2"/>
  </r>
  <r>
    <s v="TX500660"/>
    <x v="8"/>
    <x v="12"/>
    <n v="24.3"/>
    <n v="97.2"/>
    <x v="28"/>
    <d v="2025-01-31T00:00:00"/>
    <s v="F"/>
    <x v="1"/>
    <x v="2"/>
    <x v="0"/>
    <x v="21"/>
    <n v="2"/>
    <x v="4"/>
    <x v="2"/>
  </r>
  <r>
    <s v="TX500661"/>
    <x v="2"/>
    <x v="1"/>
    <n v="130.69999999999999"/>
    <n v="261.39999999999998"/>
    <x v="28"/>
    <d v="2025-01-30T00:00:00"/>
    <s v="F"/>
    <x v="2"/>
    <x v="0"/>
    <x v="0"/>
    <x v="44"/>
    <n v="1"/>
    <x v="4"/>
    <x v="2"/>
  </r>
  <r>
    <s v="TX500662"/>
    <x v="10"/>
    <x v="0"/>
    <n v="26"/>
    <n v="26"/>
    <x v="28"/>
    <d v="2025-01-31T00:00:00"/>
    <s v="M"/>
    <x v="0"/>
    <x v="0"/>
    <x v="0"/>
    <x v="3"/>
    <n v="2"/>
    <x v="4"/>
    <x v="1"/>
  </r>
  <r>
    <s v="TX500663"/>
    <x v="2"/>
    <x v="9"/>
    <n v="94.4"/>
    <n v="472"/>
    <x v="28"/>
    <d v="2025-01-30T00:00:00"/>
    <s v="F"/>
    <x v="0"/>
    <x v="0"/>
    <x v="0"/>
    <x v="3"/>
    <n v="1"/>
    <x v="4"/>
    <x v="2"/>
  </r>
  <r>
    <s v="TX500664"/>
    <x v="0"/>
    <x v="13"/>
    <n v="23.7"/>
    <n v="142.19999999999999"/>
    <x v="28"/>
    <d v="2025-01-31T00:00:00"/>
    <s v="M"/>
    <x v="2"/>
    <x v="2"/>
    <x v="0"/>
    <x v="3"/>
    <n v="2"/>
    <x v="4"/>
    <x v="1"/>
  </r>
  <r>
    <s v="TX500665"/>
    <x v="9"/>
    <x v="4"/>
    <n v="37.4"/>
    <n v="448.79999999999995"/>
    <x v="28"/>
    <d v="2025-01-31T00:00:00"/>
    <s v="M"/>
    <x v="2"/>
    <x v="0"/>
    <x v="0"/>
    <x v="3"/>
    <n v="2"/>
    <x v="4"/>
    <x v="1"/>
  </r>
  <r>
    <s v="TX500666"/>
    <x v="1"/>
    <x v="34"/>
    <n v="55.2"/>
    <n v="1987.2"/>
    <x v="28"/>
    <d v="2025-01-29T00:00:00"/>
    <s v="F"/>
    <x v="3"/>
    <x v="1"/>
    <x v="0"/>
    <x v="3"/>
    <n v="0"/>
    <x v="4"/>
    <x v="2"/>
  </r>
  <r>
    <s v="TX500667"/>
    <x v="2"/>
    <x v="11"/>
    <n v="57.1"/>
    <n v="513.9"/>
    <x v="28"/>
    <d v="2025-01-31T00:00:00"/>
    <s v="M"/>
    <x v="0"/>
    <x v="2"/>
    <x v="0"/>
    <x v="3"/>
    <n v="2"/>
    <x v="4"/>
    <x v="1"/>
  </r>
  <r>
    <s v="TX500668"/>
    <x v="12"/>
    <x v="0"/>
    <n v="55.3"/>
    <n v="55.3"/>
    <x v="28"/>
    <d v="2025-01-30T00:00:00"/>
    <s v="F"/>
    <x v="2"/>
    <x v="2"/>
    <x v="0"/>
    <x v="3"/>
    <n v="1"/>
    <x v="4"/>
    <x v="2"/>
  </r>
  <r>
    <s v="TX500669"/>
    <x v="15"/>
    <x v="3"/>
    <n v="23.9"/>
    <n v="167.29999999999998"/>
    <x v="28"/>
    <d v="2025-01-30T00:00:00"/>
    <s v="F"/>
    <x v="4"/>
    <x v="1"/>
    <x v="0"/>
    <x v="3"/>
    <n v="1"/>
    <x v="4"/>
    <x v="2"/>
  </r>
  <r>
    <s v="TX500670"/>
    <x v="0"/>
    <x v="0"/>
    <n v="34.1"/>
    <n v="34.1"/>
    <x v="28"/>
    <d v="2025-02-05T00:00:00"/>
    <s v="F"/>
    <x v="2"/>
    <x v="0"/>
    <x v="0"/>
    <x v="3"/>
    <n v="7"/>
    <x v="4"/>
    <x v="2"/>
  </r>
  <r>
    <s v="TX500671"/>
    <x v="12"/>
    <x v="12"/>
    <n v="38.5"/>
    <n v="154"/>
    <x v="28"/>
    <d v="2025-02-09T00:00:00"/>
    <s v="F"/>
    <x v="0"/>
    <x v="0"/>
    <x v="0"/>
    <x v="3"/>
    <n v="11"/>
    <x v="4"/>
    <x v="2"/>
  </r>
  <r>
    <s v="TX500672"/>
    <x v="7"/>
    <x v="1"/>
    <n v="105"/>
    <n v="210"/>
    <x v="28"/>
    <d v="2025-02-04T00:00:00"/>
    <s v="F"/>
    <x v="0"/>
    <x v="2"/>
    <x v="0"/>
    <x v="3"/>
    <n v="6"/>
    <x v="4"/>
    <x v="2"/>
  </r>
  <r>
    <s v="TX500673"/>
    <x v="8"/>
    <x v="9"/>
    <n v="45.2"/>
    <n v="226"/>
    <x v="28"/>
    <d v="2025-01-31T00:00:00"/>
    <s v="F"/>
    <x v="0"/>
    <x v="2"/>
    <x v="0"/>
    <x v="3"/>
    <n v="2"/>
    <x v="4"/>
    <x v="2"/>
  </r>
  <r>
    <s v="TX500674"/>
    <x v="17"/>
    <x v="2"/>
    <n v="24.8"/>
    <n v="74.400000000000006"/>
    <x v="28"/>
    <d v="2025-01-29T00:00:00"/>
    <s v=""/>
    <x v="0"/>
    <x v="1"/>
    <x v="0"/>
    <x v="3"/>
    <n v="0"/>
    <x v="4"/>
    <x v="0"/>
  </r>
  <r>
    <s v="TX500675"/>
    <x v="11"/>
    <x v="12"/>
    <n v="43.8"/>
    <n v="175.2"/>
    <x v="28"/>
    <d v="2025-02-05T00:00:00"/>
    <s v="F"/>
    <x v="1"/>
    <x v="2"/>
    <x v="0"/>
    <x v="6"/>
    <n v="7"/>
    <x v="4"/>
    <x v="2"/>
  </r>
  <r>
    <s v="TX500676"/>
    <x v="1"/>
    <x v="0"/>
    <n v="75"/>
    <n v="75"/>
    <x v="28"/>
    <d v="2025-01-31T00:00:00"/>
    <s v="F"/>
    <x v="4"/>
    <x v="1"/>
    <x v="0"/>
    <x v="6"/>
    <n v="2"/>
    <x v="4"/>
    <x v="2"/>
  </r>
  <r>
    <s v="TX500677"/>
    <x v="2"/>
    <x v="0"/>
    <n v="169.9"/>
    <n v="169.9"/>
    <x v="28"/>
    <d v="2025-01-30T00:00:00"/>
    <s v="M"/>
    <x v="2"/>
    <x v="0"/>
    <x v="0"/>
    <x v="6"/>
    <n v="1"/>
    <x v="4"/>
    <x v="1"/>
  </r>
  <r>
    <s v="TX500678"/>
    <x v="9"/>
    <x v="1"/>
    <n v="72.2"/>
    <n v="144.4"/>
    <x v="28"/>
    <d v="2025-01-31T00:00:00"/>
    <s v="F"/>
    <x v="4"/>
    <x v="1"/>
    <x v="0"/>
    <x v="6"/>
    <n v="2"/>
    <x v="4"/>
    <x v="2"/>
  </r>
  <r>
    <s v="TX500679"/>
    <x v="0"/>
    <x v="0"/>
    <n v="20"/>
    <n v="20"/>
    <x v="29"/>
    <d v="2025-02-02T00:00:00"/>
    <s v="F"/>
    <x v="2"/>
    <x v="1"/>
    <x v="0"/>
    <x v="7"/>
    <n v="3"/>
    <x v="4"/>
    <x v="2"/>
  </r>
  <r>
    <s v="TX500680"/>
    <x v="9"/>
    <x v="1"/>
    <n v="40.799999999999997"/>
    <n v="81.599999999999994"/>
    <x v="29"/>
    <d v="2025-02-01T00:00:00"/>
    <s v="F"/>
    <x v="3"/>
    <x v="2"/>
    <x v="0"/>
    <x v="8"/>
    <n v="2"/>
    <x v="4"/>
    <x v="2"/>
  </r>
  <r>
    <s v="TX500681"/>
    <x v="10"/>
    <x v="12"/>
    <n v="58"/>
    <n v="232"/>
    <x v="29"/>
    <d v="2025-02-03T00:00:00"/>
    <s v="F"/>
    <x v="0"/>
    <x v="0"/>
    <x v="0"/>
    <x v="8"/>
    <n v="4"/>
    <x v="4"/>
    <x v="2"/>
  </r>
  <r>
    <s v="TX500682"/>
    <x v="12"/>
    <x v="1"/>
    <n v="43.1"/>
    <n v="86.2"/>
    <x v="29"/>
    <d v="2025-01-31T00:00:00"/>
    <s v="F"/>
    <x v="1"/>
    <x v="2"/>
    <x v="0"/>
    <x v="8"/>
    <n v="1"/>
    <x v="4"/>
    <x v="2"/>
  </r>
  <r>
    <s v="TX500683"/>
    <x v="6"/>
    <x v="11"/>
    <n v="74.7"/>
    <n v="672.30000000000007"/>
    <x v="29"/>
    <d v="2025-02-01T00:00:00"/>
    <s v="M"/>
    <x v="0"/>
    <x v="2"/>
    <x v="0"/>
    <x v="8"/>
    <n v="2"/>
    <x v="4"/>
    <x v="1"/>
  </r>
  <r>
    <s v="TX500684"/>
    <x v="6"/>
    <x v="0"/>
    <n v="128.19999999999999"/>
    <n v="128.19999999999999"/>
    <x v="29"/>
    <d v="2025-01-30T00:00:00"/>
    <s v="M"/>
    <x v="1"/>
    <x v="0"/>
    <x v="0"/>
    <x v="8"/>
    <n v="0"/>
    <x v="4"/>
    <x v="1"/>
  </r>
  <r>
    <s v="TX500685"/>
    <x v="14"/>
    <x v="12"/>
    <n v="26.7"/>
    <n v="106.8"/>
    <x v="29"/>
    <d v="2025-01-31T00:00:00"/>
    <s v="M"/>
    <x v="1"/>
    <x v="0"/>
    <x v="0"/>
    <x v="8"/>
    <n v="1"/>
    <x v="4"/>
    <x v="1"/>
  </r>
  <r>
    <s v="TX500686"/>
    <x v="17"/>
    <x v="13"/>
    <n v="31.5"/>
    <n v="189"/>
    <x v="29"/>
    <d v="2025-01-31T00:00:00"/>
    <s v="F"/>
    <x v="2"/>
    <x v="0"/>
    <x v="0"/>
    <x v="17"/>
    <n v="1"/>
    <x v="4"/>
    <x v="2"/>
  </r>
  <r>
    <s v="TX500687"/>
    <x v="3"/>
    <x v="3"/>
    <n v="64.7"/>
    <n v="452.90000000000003"/>
    <x v="29"/>
    <d v="2025-01-31T00:00:00"/>
    <s v="F"/>
    <x v="0"/>
    <x v="2"/>
    <x v="0"/>
    <x v="9"/>
    <n v="1"/>
    <x v="4"/>
    <x v="2"/>
  </r>
  <r>
    <s v="TX500688"/>
    <x v="5"/>
    <x v="1"/>
    <n v="55.6"/>
    <n v="111.2"/>
    <x v="29"/>
    <d v="2025-02-02T00:00:00"/>
    <s v="F"/>
    <x v="3"/>
    <x v="0"/>
    <x v="0"/>
    <x v="11"/>
    <n v="3"/>
    <x v="4"/>
    <x v="2"/>
  </r>
  <r>
    <s v="TX500689"/>
    <x v="3"/>
    <x v="1"/>
    <n v="36.200000000000003"/>
    <n v="72.400000000000006"/>
    <x v="29"/>
    <d v="2025-01-31T00:00:00"/>
    <s v="F"/>
    <x v="3"/>
    <x v="0"/>
    <x v="0"/>
    <x v="11"/>
    <n v="1"/>
    <x v="4"/>
    <x v="2"/>
  </r>
  <r>
    <s v="TX500690"/>
    <x v="0"/>
    <x v="0"/>
    <n v="26.6"/>
    <n v="26.6"/>
    <x v="29"/>
    <d v="2025-01-31T00:00:00"/>
    <s v=""/>
    <x v="1"/>
    <x v="1"/>
    <x v="0"/>
    <x v="19"/>
    <n v="1"/>
    <x v="4"/>
    <x v="0"/>
  </r>
  <r>
    <s v="TX500691"/>
    <x v="10"/>
    <x v="12"/>
    <n v="31.5"/>
    <n v="126"/>
    <x v="29"/>
    <d v="2025-02-01T00:00:00"/>
    <s v="M"/>
    <x v="0"/>
    <x v="0"/>
    <x v="0"/>
    <x v="31"/>
    <n v="2"/>
    <x v="4"/>
    <x v="1"/>
  </r>
  <r>
    <s v="TX500692"/>
    <x v="10"/>
    <x v="0"/>
    <n v="27"/>
    <n v="27"/>
    <x v="29"/>
    <d v="2025-02-01T00:00:00"/>
    <s v="F"/>
    <x v="1"/>
    <x v="2"/>
    <x v="0"/>
    <x v="13"/>
    <n v="2"/>
    <x v="4"/>
    <x v="2"/>
  </r>
  <r>
    <s v="TX500693"/>
    <x v="4"/>
    <x v="0"/>
    <n v="32"/>
    <n v="32"/>
    <x v="29"/>
    <d v="2025-02-02T00:00:00"/>
    <s v="M"/>
    <x v="3"/>
    <x v="0"/>
    <x v="0"/>
    <x v="21"/>
    <n v="3"/>
    <x v="4"/>
    <x v="1"/>
  </r>
  <r>
    <s v="TX500694"/>
    <x v="1"/>
    <x v="2"/>
    <n v="48.1"/>
    <n v="144.30000000000001"/>
    <x v="29"/>
    <d v="2025-02-01T00:00:00"/>
    <s v="M"/>
    <x v="2"/>
    <x v="1"/>
    <x v="0"/>
    <x v="1"/>
    <n v="2"/>
    <x v="4"/>
    <x v="1"/>
  </r>
  <r>
    <s v="TX500695"/>
    <x v="9"/>
    <x v="1"/>
    <n v="43.4"/>
    <n v="86.8"/>
    <x v="29"/>
    <d v="2025-01-31T00:00:00"/>
    <s v="M"/>
    <x v="1"/>
    <x v="1"/>
    <x v="0"/>
    <x v="22"/>
    <n v="1"/>
    <x v="4"/>
    <x v="1"/>
  </r>
  <r>
    <s v="TX500696"/>
    <x v="6"/>
    <x v="1"/>
    <n v="42.6"/>
    <n v="85.2"/>
    <x v="29"/>
    <d v="2025-02-02T00:00:00"/>
    <s v="F"/>
    <x v="3"/>
    <x v="0"/>
    <x v="0"/>
    <x v="22"/>
    <n v="3"/>
    <x v="4"/>
    <x v="2"/>
  </r>
  <r>
    <s v="TX500697"/>
    <x v="8"/>
    <x v="1"/>
    <n v="15.9"/>
    <n v="31.8"/>
    <x v="29"/>
    <d v="2025-01-31T00:00:00"/>
    <s v="F"/>
    <x v="0"/>
    <x v="0"/>
    <x v="0"/>
    <x v="34"/>
    <n v="1"/>
    <x v="4"/>
    <x v="2"/>
  </r>
  <r>
    <s v="TX500698"/>
    <x v="9"/>
    <x v="1"/>
    <n v="63.2"/>
    <n v="126.4"/>
    <x v="29"/>
    <d v="2025-01-31T00:00:00"/>
    <s v="M"/>
    <x v="1"/>
    <x v="0"/>
    <x v="0"/>
    <x v="3"/>
    <n v="1"/>
    <x v="4"/>
    <x v="1"/>
  </r>
  <r>
    <s v="TX500699"/>
    <x v="7"/>
    <x v="12"/>
    <n v="64.8"/>
    <n v="259.2"/>
    <x v="29"/>
    <d v="2025-02-01T00:00:00"/>
    <s v=""/>
    <x v="4"/>
    <x v="1"/>
    <x v="0"/>
    <x v="3"/>
    <n v="2"/>
    <x v="4"/>
    <x v="0"/>
  </r>
  <r>
    <s v="TX500700"/>
    <x v="7"/>
    <x v="2"/>
    <n v="79.8"/>
    <n v="239.39999999999998"/>
    <x v="29"/>
    <d v="2025-01-31T00:00:00"/>
    <s v="M"/>
    <x v="0"/>
    <x v="0"/>
    <x v="0"/>
    <x v="3"/>
    <n v="1"/>
    <x v="4"/>
    <x v="1"/>
  </r>
  <r>
    <s v="TX500701"/>
    <x v="9"/>
    <x v="0"/>
    <n v="54.4"/>
    <n v="54.4"/>
    <x v="29"/>
    <d v="2025-02-01T00:00:00"/>
    <s v="F"/>
    <x v="4"/>
    <x v="2"/>
    <x v="0"/>
    <x v="3"/>
    <n v="2"/>
    <x v="4"/>
    <x v="2"/>
  </r>
  <r>
    <s v="TX500702"/>
    <x v="6"/>
    <x v="0"/>
    <n v="87.3"/>
    <n v="87.3"/>
    <x v="29"/>
    <d v="2025-01-31T00:00:00"/>
    <s v="M"/>
    <x v="1"/>
    <x v="0"/>
    <x v="0"/>
    <x v="3"/>
    <n v="1"/>
    <x v="4"/>
    <x v="1"/>
  </r>
  <r>
    <s v="TX500703"/>
    <x v="8"/>
    <x v="12"/>
    <n v="32.4"/>
    <n v="129.6"/>
    <x v="29"/>
    <d v="2025-01-30T00:00:00"/>
    <s v="M"/>
    <x v="1"/>
    <x v="0"/>
    <x v="0"/>
    <x v="3"/>
    <n v="0"/>
    <x v="4"/>
    <x v="1"/>
  </r>
  <r>
    <s v="TX500704"/>
    <x v="2"/>
    <x v="0"/>
    <n v="177.4"/>
    <n v="177.4"/>
    <x v="29"/>
    <d v="2025-02-03T00:00:00"/>
    <s v="M"/>
    <x v="0"/>
    <x v="2"/>
    <x v="0"/>
    <x v="3"/>
    <n v="4"/>
    <x v="4"/>
    <x v="1"/>
  </r>
  <r>
    <s v="TX500705"/>
    <x v="7"/>
    <x v="1"/>
    <n v="70.099999999999994"/>
    <n v="140.19999999999999"/>
    <x v="29"/>
    <d v="2025-01-31T00:00:00"/>
    <s v="M"/>
    <x v="3"/>
    <x v="1"/>
    <x v="0"/>
    <x v="3"/>
    <n v="1"/>
    <x v="4"/>
    <x v="1"/>
  </r>
  <r>
    <s v="TX500706"/>
    <x v="9"/>
    <x v="13"/>
    <n v="51.1"/>
    <n v="306.60000000000002"/>
    <x v="29"/>
    <d v="2025-01-31T00:00:00"/>
    <s v="F"/>
    <x v="0"/>
    <x v="0"/>
    <x v="0"/>
    <x v="3"/>
    <n v="1"/>
    <x v="4"/>
    <x v="2"/>
  </r>
  <r>
    <s v="TX500707"/>
    <x v="2"/>
    <x v="9"/>
    <n v="79.900000000000006"/>
    <n v="399.5"/>
    <x v="29"/>
    <d v="2025-02-01T00:00:00"/>
    <s v="M"/>
    <x v="3"/>
    <x v="2"/>
    <x v="0"/>
    <x v="24"/>
    <n v="2"/>
    <x v="4"/>
    <x v="1"/>
  </r>
  <r>
    <s v="TX500708"/>
    <x v="6"/>
    <x v="0"/>
    <n v="57.6"/>
    <n v="57.6"/>
    <x v="30"/>
    <d v="2025-02-05T00:00:00"/>
    <s v="M"/>
    <x v="0"/>
    <x v="2"/>
    <x v="0"/>
    <x v="49"/>
    <n v="5"/>
    <x v="4"/>
    <x v="1"/>
  </r>
  <r>
    <s v="TX500709"/>
    <x v="8"/>
    <x v="7"/>
    <n v="59.7"/>
    <n v="597"/>
    <x v="30"/>
    <d v="2025-02-04T00:00:00"/>
    <s v="M"/>
    <x v="2"/>
    <x v="0"/>
    <x v="0"/>
    <x v="25"/>
    <n v="4"/>
    <x v="4"/>
    <x v="1"/>
  </r>
  <r>
    <s v="TX500710"/>
    <x v="8"/>
    <x v="9"/>
    <n v="30"/>
    <n v="150"/>
    <x v="30"/>
    <d v="2025-02-02T00:00:00"/>
    <s v="M"/>
    <x v="1"/>
    <x v="0"/>
    <x v="0"/>
    <x v="6"/>
    <n v="2"/>
    <x v="4"/>
    <x v="1"/>
  </r>
  <r>
    <s v="TX500711"/>
    <x v="10"/>
    <x v="1"/>
    <n v="69.2"/>
    <n v="138.4"/>
    <x v="30"/>
    <d v="2025-02-02T00:00:00"/>
    <s v=""/>
    <x v="2"/>
    <x v="1"/>
    <x v="0"/>
    <x v="6"/>
    <n v="2"/>
    <x v="4"/>
    <x v="0"/>
  </r>
  <r>
    <s v="TX500712"/>
    <x v="0"/>
    <x v="8"/>
    <n v="10.9"/>
    <n v="87.2"/>
    <x v="30"/>
    <d v="2025-02-01T00:00:00"/>
    <s v="F"/>
    <x v="0"/>
    <x v="2"/>
    <x v="0"/>
    <x v="6"/>
    <n v="1"/>
    <x v="4"/>
    <x v="2"/>
  </r>
  <r>
    <s v="TX500713"/>
    <x v="16"/>
    <x v="1"/>
    <n v="48.6"/>
    <n v="97.2"/>
    <x v="30"/>
    <d v="2025-02-04T00:00:00"/>
    <s v="M"/>
    <x v="1"/>
    <x v="2"/>
    <x v="0"/>
    <x v="6"/>
    <n v="4"/>
    <x v="4"/>
    <x v="1"/>
  </r>
  <r>
    <s v="TX500714"/>
    <x v="2"/>
    <x v="1"/>
    <n v="61.1"/>
    <n v="122.2"/>
    <x v="30"/>
    <d v="2025-02-03T00:00:00"/>
    <s v="F"/>
    <x v="1"/>
    <x v="2"/>
    <x v="0"/>
    <x v="7"/>
    <n v="3"/>
    <x v="4"/>
    <x v="2"/>
  </r>
  <r>
    <s v="TX500715"/>
    <x v="8"/>
    <x v="1"/>
    <n v="23.2"/>
    <n v="46.4"/>
    <x v="30"/>
    <d v="2025-02-01T00:00:00"/>
    <s v="M"/>
    <x v="3"/>
    <x v="2"/>
    <x v="0"/>
    <x v="8"/>
    <n v="1"/>
    <x v="4"/>
    <x v="1"/>
  </r>
  <r>
    <s v="TX500716"/>
    <x v="12"/>
    <x v="12"/>
    <n v="55.8"/>
    <n v="223.2"/>
    <x v="30"/>
    <d v="2025-02-01T00:00:00"/>
    <s v="M"/>
    <x v="0"/>
    <x v="0"/>
    <x v="0"/>
    <x v="8"/>
    <n v="1"/>
    <x v="4"/>
    <x v="1"/>
  </r>
  <r>
    <s v="TX500717"/>
    <x v="9"/>
    <x v="12"/>
    <n v="24.8"/>
    <n v="99.2"/>
    <x v="30"/>
    <d v="2025-02-01T00:00:00"/>
    <s v="F"/>
    <x v="0"/>
    <x v="2"/>
    <x v="0"/>
    <x v="8"/>
    <n v="1"/>
    <x v="4"/>
    <x v="2"/>
  </r>
  <r>
    <s v="TX500718"/>
    <x v="10"/>
    <x v="1"/>
    <n v="27.9"/>
    <n v="55.8"/>
    <x v="30"/>
    <d v="2025-01-31T00:00:00"/>
    <s v="M"/>
    <x v="2"/>
    <x v="2"/>
    <x v="0"/>
    <x v="8"/>
    <n v="0"/>
    <x v="4"/>
    <x v="1"/>
  </r>
  <r>
    <s v="TX500719"/>
    <x v="10"/>
    <x v="13"/>
    <n v="51.1"/>
    <n v="306.60000000000002"/>
    <x v="30"/>
    <d v="2025-01-31T00:00:00"/>
    <s v="F"/>
    <x v="3"/>
    <x v="0"/>
    <x v="0"/>
    <x v="8"/>
    <n v="0"/>
    <x v="4"/>
    <x v="2"/>
  </r>
  <r>
    <s v="TX500720"/>
    <x v="17"/>
    <x v="5"/>
    <n v="32.700000000000003"/>
    <n v="359.70000000000005"/>
    <x v="30"/>
    <d v="2025-02-01T00:00:00"/>
    <s v="M"/>
    <x v="4"/>
    <x v="2"/>
    <x v="0"/>
    <x v="17"/>
    <n v="1"/>
    <x v="4"/>
    <x v="1"/>
  </r>
  <r>
    <s v="TX500721"/>
    <x v="8"/>
    <x v="12"/>
    <n v="22.5"/>
    <n v="90"/>
    <x v="30"/>
    <d v="2025-01-31T00:00:00"/>
    <s v="M"/>
    <x v="0"/>
    <x v="2"/>
    <x v="0"/>
    <x v="26"/>
    <n v="0"/>
    <x v="4"/>
    <x v="1"/>
  </r>
  <r>
    <s v="TX500722"/>
    <x v="0"/>
    <x v="3"/>
    <n v="14.6"/>
    <n v="102.2"/>
    <x v="30"/>
    <d v="2025-02-01T00:00:00"/>
    <s v="F"/>
    <x v="2"/>
    <x v="0"/>
    <x v="0"/>
    <x v="41"/>
    <n v="1"/>
    <x v="4"/>
    <x v="2"/>
  </r>
  <r>
    <s v="TX500723"/>
    <x v="5"/>
    <x v="2"/>
    <n v="32.5"/>
    <n v="97.5"/>
    <x v="30"/>
    <d v="2025-02-03T00:00:00"/>
    <s v="M"/>
    <x v="0"/>
    <x v="0"/>
    <x v="0"/>
    <x v="10"/>
    <n v="3"/>
    <x v="4"/>
    <x v="1"/>
  </r>
  <r>
    <s v="TX500724"/>
    <x v="18"/>
    <x v="0"/>
    <n v="78.099999999999994"/>
    <n v="78.099999999999994"/>
    <x v="30"/>
    <d v="2025-02-03T00:00:00"/>
    <s v="M"/>
    <x v="0"/>
    <x v="2"/>
    <x v="0"/>
    <x v="11"/>
    <n v="3"/>
    <x v="4"/>
    <x v="1"/>
  </r>
  <r>
    <s v="TX500725"/>
    <x v="12"/>
    <x v="13"/>
    <n v="110.2"/>
    <n v="661.2"/>
    <x v="30"/>
    <d v="2025-01-31T00:00:00"/>
    <s v="M"/>
    <x v="1"/>
    <x v="4"/>
    <x v="0"/>
    <x v="13"/>
    <n v="0"/>
    <x v="4"/>
    <x v="1"/>
  </r>
  <r>
    <s v="TX500726"/>
    <x v="6"/>
    <x v="2"/>
    <n v="86.3"/>
    <n v="258.89999999999998"/>
    <x v="30"/>
    <d v="2025-02-02T00:00:00"/>
    <s v="F"/>
    <x v="3"/>
    <x v="0"/>
    <x v="0"/>
    <x v="21"/>
    <n v="2"/>
    <x v="4"/>
    <x v="2"/>
  </r>
  <r>
    <s v="TX500727"/>
    <x v="1"/>
    <x v="13"/>
    <n v="73.599999999999994"/>
    <n v="441.59999999999997"/>
    <x v="30"/>
    <d v="2025-02-02T00:00:00"/>
    <s v="O"/>
    <x v="3"/>
    <x v="4"/>
    <x v="0"/>
    <x v="44"/>
    <n v="2"/>
    <x v="4"/>
    <x v="3"/>
  </r>
  <r>
    <s v="TX500728"/>
    <x v="6"/>
    <x v="15"/>
    <n v="67.7"/>
    <n v="880.1"/>
    <x v="30"/>
    <d v="2025-02-02T00:00:00"/>
    <s v="F"/>
    <x v="0"/>
    <x v="2"/>
    <x v="0"/>
    <x v="3"/>
    <n v="2"/>
    <x v="4"/>
    <x v="2"/>
  </r>
  <r>
    <s v="TX500729"/>
    <x v="7"/>
    <x v="13"/>
    <n v="142.19999999999999"/>
    <n v="853.19999999999993"/>
    <x v="30"/>
    <d v="2025-02-01T00:00:00"/>
    <s v="F"/>
    <x v="2"/>
    <x v="4"/>
    <x v="0"/>
    <x v="3"/>
    <n v="1"/>
    <x v="4"/>
    <x v="2"/>
  </r>
  <r>
    <s v="TX500730"/>
    <x v="1"/>
    <x v="11"/>
    <n v="45.8"/>
    <n v="412.2"/>
    <x v="30"/>
    <d v="2025-02-02T00:00:00"/>
    <s v="F"/>
    <x v="1"/>
    <x v="2"/>
    <x v="0"/>
    <x v="3"/>
    <n v="2"/>
    <x v="4"/>
    <x v="2"/>
  </r>
  <r>
    <s v="TX500731"/>
    <x v="10"/>
    <x v="1"/>
    <n v="24.2"/>
    <n v="48.4"/>
    <x v="31"/>
    <d v="2025-02-04T00:00:00"/>
    <s v="F"/>
    <x v="3"/>
    <x v="2"/>
    <x v="0"/>
    <x v="3"/>
    <n v="3"/>
    <x v="4"/>
    <x v="2"/>
  </r>
  <r>
    <s v="TX500732"/>
    <x v="2"/>
    <x v="2"/>
    <n v="144.9"/>
    <n v="434.70000000000005"/>
    <x v="31"/>
    <d v="2025-02-02T00:00:00"/>
    <s v="O"/>
    <x v="2"/>
    <x v="2"/>
    <x v="0"/>
    <x v="3"/>
    <n v="1"/>
    <x v="4"/>
    <x v="3"/>
  </r>
  <r>
    <s v="TX500733"/>
    <x v="11"/>
    <x v="9"/>
    <n v="32.799999999999997"/>
    <n v="164"/>
    <x v="31"/>
    <d v="2025-02-04T00:00:00"/>
    <s v="F"/>
    <x v="2"/>
    <x v="0"/>
    <x v="0"/>
    <x v="23"/>
    <n v="3"/>
    <x v="4"/>
    <x v="2"/>
  </r>
  <r>
    <s v="TX500734"/>
    <x v="7"/>
    <x v="7"/>
    <n v="35.700000000000003"/>
    <n v="357"/>
    <x v="31"/>
    <d v="2025-02-01T00:00:00"/>
    <s v="F"/>
    <x v="0"/>
    <x v="1"/>
    <x v="0"/>
    <x v="6"/>
    <n v="0"/>
    <x v="4"/>
    <x v="2"/>
  </r>
  <r>
    <s v="TX500735"/>
    <x v="9"/>
    <x v="1"/>
    <n v="54.6"/>
    <n v="109.2"/>
    <x v="31"/>
    <d v="2025-02-02T00:00:00"/>
    <s v="F"/>
    <x v="2"/>
    <x v="0"/>
    <x v="0"/>
    <x v="6"/>
    <n v="1"/>
    <x v="4"/>
    <x v="2"/>
  </r>
  <r>
    <s v="TX500736"/>
    <x v="8"/>
    <x v="1"/>
    <n v="35.700000000000003"/>
    <n v="71.400000000000006"/>
    <x v="31"/>
    <d v="2025-02-04T00:00:00"/>
    <s v=""/>
    <x v="0"/>
    <x v="1"/>
    <x v="0"/>
    <x v="6"/>
    <n v="3"/>
    <x v="4"/>
    <x v="0"/>
  </r>
  <r>
    <s v="TX500737"/>
    <x v="10"/>
    <x v="1"/>
    <n v="52.4"/>
    <n v="104.8"/>
    <x v="31"/>
    <d v="2025-02-01T00:00:00"/>
    <s v="F"/>
    <x v="0"/>
    <x v="3"/>
    <x v="0"/>
    <x v="6"/>
    <n v="0"/>
    <x v="4"/>
    <x v="2"/>
  </r>
  <r>
    <s v="TX500738"/>
    <x v="8"/>
    <x v="21"/>
    <n v="16.2"/>
    <n v="226.79999999999998"/>
    <x v="31"/>
    <d v="2025-02-02T00:00:00"/>
    <s v=""/>
    <x v="0"/>
    <x v="1"/>
    <x v="0"/>
    <x v="8"/>
    <n v="1"/>
    <x v="4"/>
    <x v="0"/>
  </r>
  <r>
    <s v="TX500739"/>
    <x v="6"/>
    <x v="35"/>
    <n v="42.8"/>
    <n v="2011.6"/>
    <x v="31"/>
    <d v="2025-02-02T00:00:00"/>
    <s v="F"/>
    <x v="0"/>
    <x v="0"/>
    <x v="0"/>
    <x v="8"/>
    <n v="1"/>
    <x v="4"/>
    <x v="2"/>
  </r>
  <r>
    <s v="TX500740"/>
    <x v="6"/>
    <x v="11"/>
    <n v="144.4"/>
    <n v="1299.6000000000001"/>
    <x v="31"/>
    <d v="2025-02-04T00:00:00"/>
    <s v="F"/>
    <x v="4"/>
    <x v="0"/>
    <x v="0"/>
    <x v="8"/>
    <n v="3"/>
    <x v="4"/>
    <x v="2"/>
  </r>
  <r>
    <s v="TX500741"/>
    <x v="3"/>
    <x v="34"/>
    <n v="30.6"/>
    <n v="1101.6000000000001"/>
    <x v="31"/>
    <d v="2025-02-05T00:00:00"/>
    <s v="F"/>
    <x v="2"/>
    <x v="2"/>
    <x v="0"/>
    <x v="11"/>
    <n v="4"/>
    <x v="4"/>
    <x v="2"/>
  </r>
  <r>
    <s v="TX500742"/>
    <x v="2"/>
    <x v="1"/>
    <n v="117.5"/>
    <n v="235"/>
    <x v="31"/>
    <d v="2025-02-02T00:00:00"/>
    <s v="M"/>
    <x v="0"/>
    <x v="0"/>
    <x v="0"/>
    <x v="19"/>
    <n v="1"/>
    <x v="4"/>
    <x v="1"/>
  </r>
  <r>
    <s v="TX500743"/>
    <x v="6"/>
    <x v="1"/>
    <n v="105.7"/>
    <n v="211.4"/>
    <x v="31"/>
    <d v="2025-02-02T00:00:00"/>
    <s v="F"/>
    <x v="2"/>
    <x v="2"/>
    <x v="0"/>
    <x v="21"/>
    <n v="1"/>
    <x v="4"/>
    <x v="2"/>
  </r>
  <r>
    <s v="TX500744"/>
    <x v="3"/>
    <x v="2"/>
    <n v="133.69999999999999"/>
    <n v="401.09999999999997"/>
    <x v="31"/>
    <d v="2025-02-02T00:00:00"/>
    <s v=""/>
    <x v="4"/>
    <x v="2"/>
    <x v="0"/>
    <x v="21"/>
    <n v="1"/>
    <x v="4"/>
    <x v="0"/>
  </r>
  <r>
    <s v="TX500745"/>
    <x v="4"/>
    <x v="9"/>
    <n v="46.8"/>
    <n v="234"/>
    <x v="32"/>
    <d v="2025-02-10T00:00:00"/>
    <s v="F"/>
    <x v="0"/>
    <x v="1"/>
    <x v="0"/>
    <x v="21"/>
    <n v="8"/>
    <x v="5"/>
    <x v="2"/>
  </r>
  <r>
    <s v="TX500746"/>
    <x v="10"/>
    <x v="2"/>
    <n v="58.4"/>
    <n v="175.2"/>
    <x v="32"/>
    <d v="2025-02-04T00:00:00"/>
    <s v="F"/>
    <x v="0"/>
    <x v="0"/>
    <x v="0"/>
    <x v="1"/>
    <n v="2"/>
    <x v="5"/>
    <x v="2"/>
  </r>
  <r>
    <s v="TX500747"/>
    <x v="6"/>
    <x v="11"/>
    <n v="65.099999999999994"/>
    <n v="585.9"/>
    <x v="32"/>
    <d v="2025-02-06T00:00:00"/>
    <s v="M"/>
    <x v="1"/>
    <x v="2"/>
    <x v="0"/>
    <x v="22"/>
    <n v="4"/>
    <x v="5"/>
    <x v="1"/>
  </r>
  <r>
    <s v="TX500748"/>
    <x v="8"/>
    <x v="0"/>
    <n v="18.600000000000001"/>
    <n v="18.600000000000001"/>
    <x v="32"/>
    <d v="2025-02-05T00:00:00"/>
    <s v="F"/>
    <x v="0"/>
    <x v="4"/>
    <x v="0"/>
    <x v="22"/>
    <n v="3"/>
    <x v="5"/>
    <x v="2"/>
  </r>
  <r>
    <s v="TX500749"/>
    <x v="1"/>
    <x v="5"/>
    <n v="92.3"/>
    <n v="1015.3"/>
    <x v="32"/>
    <d v="2025-02-04T00:00:00"/>
    <s v="M"/>
    <x v="1"/>
    <x v="0"/>
    <x v="0"/>
    <x v="3"/>
    <n v="2"/>
    <x v="5"/>
    <x v="1"/>
  </r>
  <r>
    <s v="TX500750"/>
    <x v="6"/>
    <x v="2"/>
    <n v="81.7"/>
    <n v="245.10000000000002"/>
    <x v="32"/>
    <d v="2025-02-03T00:00:00"/>
    <s v=""/>
    <x v="4"/>
    <x v="4"/>
    <x v="0"/>
    <x v="3"/>
    <n v="1"/>
    <x v="5"/>
    <x v="0"/>
  </r>
  <r>
    <s v="TX500751"/>
    <x v="8"/>
    <x v="1"/>
    <n v="40.9"/>
    <n v="81.8"/>
    <x v="32"/>
    <d v="2025-02-04T00:00:00"/>
    <s v="M"/>
    <x v="0"/>
    <x v="1"/>
    <x v="0"/>
    <x v="3"/>
    <n v="2"/>
    <x v="5"/>
    <x v="1"/>
  </r>
  <r>
    <s v="TX500752"/>
    <x v="6"/>
    <x v="12"/>
    <n v="43.2"/>
    <n v="172.8"/>
    <x v="32"/>
    <d v="2025-02-08T00:00:00"/>
    <s v="F"/>
    <x v="0"/>
    <x v="1"/>
    <x v="0"/>
    <x v="3"/>
    <n v="6"/>
    <x v="5"/>
    <x v="2"/>
  </r>
  <r>
    <s v="TX500753"/>
    <x v="8"/>
    <x v="5"/>
    <n v="25.8"/>
    <n v="283.8"/>
    <x v="32"/>
    <d v="2025-02-05T00:00:00"/>
    <s v="M"/>
    <x v="2"/>
    <x v="1"/>
    <x v="0"/>
    <x v="3"/>
    <n v="3"/>
    <x v="5"/>
    <x v="1"/>
  </r>
  <r>
    <s v="TX500754"/>
    <x v="15"/>
    <x v="12"/>
    <n v="36.4"/>
    <n v="145.6"/>
    <x v="32"/>
    <d v="2025-02-03T00:00:00"/>
    <s v="M"/>
    <x v="0"/>
    <x v="0"/>
    <x v="0"/>
    <x v="3"/>
    <n v="1"/>
    <x v="5"/>
    <x v="1"/>
  </r>
  <r>
    <s v="TX500755"/>
    <x v="10"/>
    <x v="0"/>
    <n v="59.1"/>
    <n v="59.1"/>
    <x v="32"/>
    <d v="2025-02-03T00:00:00"/>
    <s v="F"/>
    <x v="2"/>
    <x v="0"/>
    <x v="0"/>
    <x v="7"/>
    <n v="1"/>
    <x v="5"/>
    <x v="2"/>
  </r>
  <r>
    <s v="TX500756"/>
    <x v="2"/>
    <x v="14"/>
    <n v="74.5"/>
    <n v="1266.5"/>
    <x v="32"/>
    <d v="2025-02-04T00:00:00"/>
    <s v="M"/>
    <x v="4"/>
    <x v="0"/>
    <x v="0"/>
    <x v="18"/>
    <n v="2"/>
    <x v="5"/>
    <x v="1"/>
  </r>
  <r>
    <s v="TX500757"/>
    <x v="5"/>
    <x v="0"/>
    <n v="72.8"/>
    <n v="72.8"/>
    <x v="32"/>
    <d v="2025-02-03T00:00:00"/>
    <s v="F"/>
    <x v="0"/>
    <x v="1"/>
    <x v="0"/>
    <x v="19"/>
    <n v="1"/>
    <x v="5"/>
    <x v="2"/>
  </r>
  <r>
    <s v="TX500758"/>
    <x v="6"/>
    <x v="12"/>
    <n v="137.30000000000001"/>
    <n v="549.20000000000005"/>
    <x v="32"/>
    <d v="2025-02-05T00:00:00"/>
    <s v="F"/>
    <x v="0"/>
    <x v="0"/>
    <x v="0"/>
    <x v="13"/>
    <n v="3"/>
    <x v="5"/>
    <x v="2"/>
  </r>
  <r>
    <s v="TX500759"/>
    <x v="1"/>
    <x v="2"/>
    <n v="48.7"/>
    <n v="146.10000000000002"/>
    <x v="32"/>
    <d v="2025-02-07T00:00:00"/>
    <s v="F"/>
    <x v="0"/>
    <x v="1"/>
    <x v="0"/>
    <x v="21"/>
    <n v="5"/>
    <x v="5"/>
    <x v="2"/>
  </r>
  <r>
    <s v="TX500760"/>
    <x v="6"/>
    <x v="12"/>
    <n v="53.7"/>
    <n v="214.8"/>
    <x v="32"/>
    <d v="2025-02-06T00:00:00"/>
    <s v="M"/>
    <x v="1"/>
    <x v="4"/>
    <x v="0"/>
    <x v="2"/>
    <n v="4"/>
    <x v="5"/>
    <x v="1"/>
  </r>
  <r>
    <s v="TX500761"/>
    <x v="2"/>
    <x v="3"/>
    <n v="100.9"/>
    <n v="706.30000000000007"/>
    <x v="32"/>
    <d v="2025-02-04T00:00:00"/>
    <s v="F"/>
    <x v="0"/>
    <x v="1"/>
    <x v="0"/>
    <x v="2"/>
    <n v="2"/>
    <x v="5"/>
    <x v="2"/>
  </r>
  <r>
    <s v="TX500762"/>
    <x v="10"/>
    <x v="1"/>
    <n v="41.8"/>
    <n v="83.6"/>
    <x v="32"/>
    <d v="2025-02-06T00:00:00"/>
    <s v="M"/>
    <x v="3"/>
    <x v="2"/>
    <x v="0"/>
    <x v="22"/>
    <n v="4"/>
    <x v="5"/>
    <x v="1"/>
  </r>
  <r>
    <s v="TX500763"/>
    <x v="4"/>
    <x v="8"/>
    <n v="28.5"/>
    <n v="228"/>
    <x v="32"/>
    <d v="2025-02-04T00:00:00"/>
    <s v="M"/>
    <x v="2"/>
    <x v="1"/>
    <x v="0"/>
    <x v="3"/>
    <n v="2"/>
    <x v="5"/>
    <x v="1"/>
  </r>
  <r>
    <s v="TX500764"/>
    <x v="7"/>
    <x v="12"/>
    <n v="88.9"/>
    <n v="355.6"/>
    <x v="32"/>
    <d v="2025-02-05T00:00:00"/>
    <s v="F"/>
    <x v="0"/>
    <x v="2"/>
    <x v="0"/>
    <x v="3"/>
    <n v="3"/>
    <x v="5"/>
    <x v="2"/>
  </r>
  <r>
    <s v="TX500765"/>
    <x v="6"/>
    <x v="0"/>
    <n v="62.5"/>
    <n v="62.5"/>
    <x v="32"/>
    <d v="2025-02-11T00:00:00"/>
    <s v="F"/>
    <x v="0"/>
    <x v="2"/>
    <x v="0"/>
    <x v="3"/>
    <n v="9"/>
    <x v="5"/>
    <x v="2"/>
  </r>
  <r>
    <s v="TX500766"/>
    <x v="1"/>
    <x v="2"/>
    <n v="46.9"/>
    <n v="140.69999999999999"/>
    <x v="32"/>
    <d v="2025-02-03T00:00:00"/>
    <s v="M"/>
    <x v="0"/>
    <x v="2"/>
    <x v="0"/>
    <x v="3"/>
    <n v="1"/>
    <x v="5"/>
    <x v="1"/>
  </r>
  <r>
    <s v="TX500767"/>
    <x v="8"/>
    <x v="2"/>
    <n v="45"/>
    <n v="135"/>
    <x v="32"/>
    <d v="2025-02-16T00:00:00"/>
    <s v="M"/>
    <x v="1"/>
    <x v="0"/>
    <x v="0"/>
    <x v="3"/>
    <n v="14"/>
    <x v="5"/>
    <x v="1"/>
  </r>
  <r>
    <s v="TX500768"/>
    <x v="6"/>
    <x v="2"/>
    <n v="45.2"/>
    <n v="135.60000000000002"/>
    <x v="32"/>
    <d v="2025-02-04T00:00:00"/>
    <s v="M"/>
    <x v="4"/>
    <x v="2"/>
    <x v="0"/>
    <x v="3"/>
    <n v="2"/>
    <x v="5"/>
    <x v="1"/>
  </r>
  <r>
    <s v="TX500769"/>
    <x v="4"/>
    <x v="1"/>
    <n v="60.1"/>
    <n v="120.2"/>
    <x v="32"/>
    <d v="2025-02-03T00:00:00"/>
    <s v="F"/>
    <x v="0"/>
    <x v="2"/>
    <x v="0"/>
    <x v="3"/>
    <n v="1"/>
    <x v="5"/>
    <x v="2"/>
  </r>
  <r>
    <s v="TX500770"/>
    <x v="12"/>
    <x v="12"/>
    <n v="118.7"/>
    <n v="474.8"/>
    <x v="32"/>
    <d v="2025-02-04T00:00:00"/>
    <s v="F"/>
    <x v="0"/>
    <x v="0"/>
    <x v="0"/>
    <x v="3"/>
    <n v="2"/>
    <x v="5"/>
    <x v="2"/>
  </r>
  <r>
    <s v="TX500771"/>
    <x v="9"/>
    <x v="0"/>
    <n v="57.8"/>
    <n v="57.8"/>
    <x v="32"/>
    <d v="2025-02-11T00:00:00"/>
    <s v="F"/>
    <x v="1"/>
    <x v="0"/>
    <x v="0"/>
    <x v="3"/>
    <n v="9"/>
    <x v="5"/>
    <x v="2"/>
  </r>
  <r>
    <s v="TX500772"/>
    <x v="4"/>
    <x v="0"/>
    <n v="19.5"/>
    <n v="19.5"/>
    <x v="32"/>
    <d v="2025-02-03T00:00:00"/>
    <s v="M"/>
    <x v="1"/>
    <x v="1"/>
    <x v="0"/>
    <x v="3"/>
    <n v="1"/>
    <x v="5"/>
    <x v="1"/>
  </r>
  <r>
    <s v="TX500773"/>
    <x v="12"/>
    <x v="0"/>
    <n v="42.6"/>
    <n v="42.6"/>
    <x v="32"/>
    <d v="2025-02-03T00:00:00"/>
    <s v="M"/>
    <x v="0"/>
    <x v="1"/>
    <x v="0"/>
    <x v="3"/>
    <n v="1"/>
    <x v="5"/>
    <x v="1"/>
  </r>
  <r>
    <s v="TX500774"/>
    <x v="6"/>
    <x v="1"/>
    <n v="74.8"/>
    <n v="149.6"/>
    <x v="32"/>
    <d v="2025-02-03T00:00:00"/>
    <s v="F"/>
    <x v="3"/>
    <x v="2"/>
    <x v="0"/>
    <x v="37"/>
    <n v="1"/>
    <x v="5"/>
    <x v="2"/>
  </r>
  <r>
    <s v="TX500775"/>
    <x v="8"/>
    <x v="2"/>
    <n v="32.5"/>
    <n v="97.5"/>
    <x v="32"/>
    <d v="2025-02-03T00:00:00"/>
    <s v="M"/>
    <x v="2"/>
    <x v="4"/>
    <x v="0"/>
    <x v="16"/>
    <n v="1"/>
    <x v="5"/>
    <x v="1"/>
  </r>
  <r>
    <s v="TX500776"/>
    <x v="2"/>
    <x v="2"/>
    <n v="60.5"/>
    <n v="181.5"/>
    <x v="32"/>
    <d v="2025-02-02T00:00:00"/>
    <s v="F"/>
    <x v="1"/>
    <x v="2"/>
    <x v="0"/>
    <x v="25"/>
    <n v="0"/>
    <x v="5"/>
    <x v="2"/>
  </r>
  <r>
    <s v="TX500777"/>
    <x v="1"/>
    <x v="3"/>
    <n v="57.2"/>
    <n v="400.40000000000003"/>
    <x v="32"/>
    <d v="2025-02-04T00:00:00"/>
    <s v=""/>
    <x v="2"/>
    <x v="0"/>
    <x v="0"/>
    <x v="25"/>
    <n v="2"/>
    <x v="5"/>
    <x v="0"/>
  </r>
  <r>
    <s v="TX500778"/>
    <x v="16"/>
    <x v="1"/>
    <n v="112"/>
    <n v="224"/>
    <x v="32"/>
    <d v="2025-02-03T00:00:00"/>
    <s v="F"/>
    <x v="1"/>
    <x v="1"/>
    <x v="0"/>
    <x v="5"/>
    <n v="1"/>
    <x v="5"/>
    <x v="2"/>
  </r>
  <r>
    <s v="TX500779"/>
    <x v="7"/>
    <x v="7"/>
    <n v="49"/>
    <n v="490"/>
    <x v="32"/>
    <d v="2025-02-03T00:00:00"/>
    <s v="O"/>
    <x v="2"/>
    <x v="1"/>
    <x v="0"/>
    <x v="6"/>
    <n v="1"/>
    <x v="5"/>
    <x v="3"/>
  </r>
  <r>
    <s v="TX500780"/>
    <x v="0"/>
    <x v="1"/>
    <n v="33.700000000000003"/>
    <n v="67.400000000000006"/>
    <x v="32"/>
    <d v="2025-02-06T00:00:00"/>
    <s v="F"/>
    <x v="3"/>
    <x v="0"/>
    <x v="0"/>
    <x v="6"/>
    <n v="4"/>
    <x v="5"/>
    <x v="2"/>
  </r>
  <r>
    <s v="TX500781"/>
    <x v="4"/>
    <x v="2"/>
    <n v="35.6"/>
    <n v="106.80000000000001"/>
    <x v="32"/>
    <d v="2025-02-05T00:00:00"/>
    <s v="F"/>
    <x v="0"/>
    <x v="2"/>
    <x v="0"/>
    <x v="6"/>
    <n v="3"/>
    <x v="5"/>
    <x v="2"/>
  </r>
  <r>
    <s v="TX500782"/>
    <x v="4"/>
    <x v="36"/>
    <n v="30.4"/>
    <n v="1064"/>
    <x v="33"/>
    <d v="2025-02-03T00:00:00"/>
    <s v="F"/>
    <x v="0"/>
    <x v="1"/>
    <x v="0"/>
    <x v="7"/>
    <n v="0"/>
    <x v="5"/>
    <x v="2"/>
  </r>
  <r>
    <s v="TX500783"/>
    <x v="10"/>
    <x v="4"/>
    <n v="50.2"/>
    <n v="602.40000000000009"/>
    <x v="33"/>
    <d v="2025-02-04T00:00:00"/>
    <s v="M"/>
    <x v="4"/>
    <x v="0"/>
    <x v="0"/>
    <x v="8"/>
    <n v="1"/>
    <x v="5"/>
    <x v="1"/>
  </r>
  <r>
    <s v="TX500784"/>
    <x v="1"/>
    <x v="1"/>
    <n v="43.7"/>
    <n v="87.4"/>
    <x v="33"/>
    <d v="2025-02-05T00:00:00"/>
    <s v="F"/>
    <x v="0"/>
    <x v="0"/>
    <x v="0"/>
    <x v="8"/>
    <n v="2"/>
    <x v="5"/>
    <x v="2"/>
  </r>
  <r>
    <s v="TX500785"/>
    <x v="10"/>
    <x v="0"/>
    <n v="33.299999999999997"/>
    <n v="33.299999999999997"/>
    <x v="33"/>
    <d v="2025-02-04T00:00:00"/>
    <s v="F"/>
    <x v="2"/>
    <x v="1"/>
    <x v="0"/>
    <x v="8"/>
    <n v="1"/>
    <x v="5"/>
    <x v="2"/>
  </r>
  <r>
    <s v="TX500786"/>
    <x v="8"/>
    <x v="12"/>
    <n v="15.1"/>
    <n v="60.4"/>
    <x v="33"/>
    <d v="2025-02-05T00:00:00"/>
    <s v="F"/>
    <x v="4"/>
    <x v="2"/>
    <x v="0"/>
    <x v="8"/>
    <n v="2"/>
    <x v="5"/>
    <x v="2"/>
  </r>
  <r>
    <s v="TX500787"/>
    <x v="6"/>
    <x v="9"/>
    <n v="118.2"/>
    <n v="591"/>
    <x v="33"/>
    <d v="2025-02-04T00:00:00"/>
    <s v="F"/>
    <x v="3"/>
    <x v="4"/>
    <x v="0"/>
    <x v="8"/>
    <n v="1"/>
    <x v="5"/>
    <x v="2"/>
  </r>
  <r>
    <s v="TX500788"/>
    <x v="10"/>
    <x v="2"/>
    <n v="28.9"/>
    <n v="86.699999999999989"/>
    <x v="33"/>
    <d v="2025-02-05T00:00:00"/>
    <s v="F"/>
    <x v="2"/>
    <x v="1"/>
    <x v="0"/>
    <x v="8"/>
    <n v="2"/>
    <x v="5"/>
    <x v="2"/>
  </r>
  <r>
    <s v="TX500789"/>
    <x v="4"/>
    <x v="2"/>
    <n v="55.6"/>
    <n v="166.8"/>
    <x v="33"/>
    <d v="2025-02-04T00:00:00"/>
    <s v="M"/>
    <x v="0"/>
    <x v="1"/>
    <x v="0"/>
    <x v="8"/>
    <n v="1"/>
    <x v="5"/>
    <x v="1"/>
  </r>
  <r>
    <s v="TX500790"/>
    <x v="9"/>
    <x v="12"/>
    <n v="25.6"/>
    <n v="102.4"/>
    <x v="33"/>
    <d v="2025-02-05T00:00:00"/>
    <s v="F"/>
    <x v="0"/>
    <x v="1"/>
    <x v="0"/>
    <x v="8"/>
    <n v="2"/>
    <x v="5"/>
    <x v="2"/>
  </r>
  <r>
    <s v="TX500791"/>
    <x v="7"/>
    <x v="2"/>
    <n v="31.3"/>
    <n v="93.9"/>
    <x v="33"/>
    <d v="2025-02-04T00:00:00"/>
    <s v="M"/>
    <x v="0"/>
    <x v="0"/>
    <x v="0"/>
    <x v="17"/>
    <n v="1"/>
    <x v="5"/>
    <x v="1"/>
  </r>
  <r>
    <s v="TX500792"/>
    <x v="0"/>
    <x v="2"/>
    <n v="22.1"/>
    <n v="66.300000000000011"/>
    <x v="33"/>
    <d v="2025-02-07T00:00:00"/>
    <s v="M"/>
    <x v="0"/>
    <x v="0"/>
    <x v="0"/>
    <x v="17"/>
    <n v="4"/>
    <x v="5"/>
    <x v="1"/>
  </r>
  <r>
    <s v="TX500793"/>
    <x v="2"/>
    <x v="21"/>
    <n v="99.4"/>
    <n v="1391.6000000000001"/>
    <x v="33"/>
    <d v="2025-02-04T00:00:00"/>
    <s v="M"/>
    <x v="1"/>
    <x v="0"/>
    <x v="0"/>
    <x v="11"/>
    <n v="1"/>
    <x v="5"/>
    <x v="1"/>
  </r>
  <r>
    <s v="TX500794"/>
    <x v="7"/>
    <x v="13"/>
    <n v="66.599999999999994"/>
    <n v="399.59999999999997"/>
    <x v="33"/>
    <d v="2025-02-04T00:00:00"/>
    <s v="F"/>
    <x v="0"/>
    <x v="0"/>
    <x v="0"/>
    <x v="11"/>
    <n v="1"/>
    <x v="5"/>
    <x v="2"/>
  </r>
  <r>
    <s v="TX500795"/>
    <x v="8"/>
    <x v="1"/>
    <n v="22.6"/>
    <n v="45.2"/>
    <x v="33"/>
    <d v="2025-02-06T00:00:00"/>
    <s v="M"/>
    <x v="0"/>
    <x v="0"/>
    <x v="0"/>
    <x v="11"/>
    <n v="3"/>
    <x v="5"/>
    <x v="1"/>
  </r>
  <r>
    <s v="TX500796"/>
    <x v="2"/>
    <x v="16"/>
    <n v="66.8"/>
    <n v="1202.3999999999999"/>
    <x v="33"/>
    <d v="2025-02-04T00:00:00"/>
    <s v="F"/>
    <x v="0"/>
    <x v="4"/>
    <x v="0"/>
    <x v="13"/>
    <n v="1"/>
    <x v="5"/>
    <x v="2"/>
  </r>
  <r>
    <s v="TX500797"/>
    <x v="0"/>
    <x v="12"/>
    <n v="20.8"/>
    <n v="83.2"/>
    <x v="33"/>
    <d v="2025-02-10T00:00:00"/>
    <s v="M"/>
    <x v="1"/>
    <x v="4"/>
    <x v="0"/>
    <x v="1"/>
    <n v="7"/>
    <x v="5"/>
    <x v="1"/>
  </r>
  <r>
    <s v="TX500798"/>
    <x v="2"/>
    <x v="3"/>
    <n v="102.5"/>
    <n v="717.5"/>
    <x v="33"/>
    <d v="2025-02-04T00:00:00"/>
    <s v="F"/>
    <x v="4"/>
    <x v="2"/>
    <x v="0"/>
    <x v="3"/>
    <n v="1"/>
    <x v="5"/>
    <x v="2"/>
  </r>
  <r>
    <s v="TX500799"/>
    <x v="0"/>
    <x v="16"/>
    <n v="24.8"/>
    <n v="446.40000000000003"/>
    <x v="33"/>
    <d v="2025-02-07T00:00:00"/>
    <s v="F"/>
    <x v="0"/>
    <x v="0"/>
    <x v="0"/>
    <x v="3"/>
    <n v="4"/>
    <x v="5"/>
    <x v="2"/>
  </r>
  <r>
    <s v="TX500800"/>
    <x v="4"/>
    <x v="37"/>
    <n v="31.4"/>
    <n v="973.4"/>
    <x v="33"/>
    <d v="2025-02-04T00:00:00"/>
    <s v="F"/>
    <x v="3"/>
    <x v="0"/>
    <x v="0"/>
    <x v="3"/>
    <n v="1"/>
    <x v="5"/>
    <x v="2"/>
  </r>
  <r>
    <s v="TX500801"/>
    <x v="9"/>
    <x v="9"/>
    <n v="59.3"/>
    <n v="296.5"/>
    <x v="33"/>
    <d v="2025-02-06T00:00:00"/>
    <s v="M"/>
    <x v="1"/>
    <x v="2"/>
    <x v="0"/>
    <x v="43"/>
    <n v="3"/>
    <x v="5"/>
    <x v="1"/>
  </r>
  <r>
    <s v="TX500802"/>
    <x v="11"/>
    <x v="13"/>
    <n v="39"/>
    <n v="234"/>
    <x v="33"/>
    <d v="2025-02-06T00:00:00"/>
    <s v="M"/>
    <x v="1"/>
    <x v="0"/>
    <x v="0"/>
    <x v="6"/>
    <n v="3"/>
    <x v="5"/>
    <x v="1"/>
  </r>
  <r>
    <s v="TX500803"/>
    <x v="5"/>
    <x v="13"/>
    <n v="98.6"/>
    <n v="591.59999999999991"/>
    <x v="33"/>
    <d v="2025-02-05T00:00:00"/>
    <s v="F"/>
    <x v="1"/>
    <x v="0"/>
    <x v="0"/>
    <x v="6"/>
    <n v="2"/>
    <x v="5"/>
    <x v="2"/>
  </r>
  <r>
    <s v="TX500804"/>
    <x v="8"/>
    <x v="0"/>
    <n v="20"/>
    <n v="20"/>
    <x v="34"/>
    <d v="2025-02-05T00:00:00"/>
    <s v="M"/>
    <x v="3"/>
    <x v="2"/>
    <x v="0"/>
    <x v="8"/>
    <n v="1"/>
    <x v="5"/>
    <x v="1"/>
  </r>
  <r>
    <s v="TX500805"/>
    <x v="1"/>
    <x v="1"/>
    <n v="42.9"/>
    <n v="85.8"/>
    <x v="34"/>
    <d v="2025-02-06T00:00:00"/>
    <s v="F"/>
    <x v="0"/>
    <x v="2"/>
    <x v="0"/>
    <x v="8"/>
    <n v="2"/>
    <x v="5"/>
    <x v="2"/>
  </r>
  <r>
    <s v="TX500806"/>
    <x v="7"/>
    <x v="3"/>
    <n v="55.6"/>
    <n v="389.2"/>
    <x v="34"/>
    <d v="2025-02-06T00:00:00"/>
    <s v="F"/>
    <x v="2"/>
    <x v="1"/>
    <x v="0"/>
    <x v="8"/>
    <n v="2"/>
    <x v="5"/>
    <x v="2"/>
  </r>
  <r>
    <s v="TX500807"/>
    <x v="8"/>
    <x v="12"/>
    <n v="19.2"/>
    <n v="76.8"/>
    <x v="34"/>
    <d v="2025-02-09T00:00:00"/>
    <s v="F"/>
    <x v="0"/>
    <x v="0"/>
    <x v="0"/>
    <x v="41"/>
    <n v="5"/>
    <x v="5"/>
    <x v="2"/>
  </r>
  <r>
    <s v="TX500808"/>
    <x v="5"/>
    <x v="1"/>
    <n v="28.8"/>
    <n v="57.6"/>
    <x v="34"/>
    <d v="2025-02-06T00:00:00"/>
    <s v="M"/>
    <x v="1"/>
    <x v="0"/>
    <x v="0"/>
    <x v="18"/>
    <n v="2"/>
    <x v="5"/>
    <x v="1"/>
  </r>
  <r>
    <s v="TX500809"/>
    <x v="4"/>
    <x v="0"/>
    <n v="29.7"/>
    <n v="29.7"/>
    <x v="34"/>
    <d v="2025-02-06T00:00:00"/>
    <s v="F"/>
    <x v="2"/>
    <x v="4"/>
    <x v="0"/>
    <x v="20"/>
    <n v="2"/>
    <x v="5"/>
    <x v="2"/>
  </r>
  <r>
    <s v="TX500810"/>
    <x v="6"/>
    <x v="13"/>
    <n v="63.3"/>
    <n v="379.79999999999995"/>
    <x v="34"/>
    <d v="2025-02-05T00:00:00"/>
    <s v=""/>
    <x v="0"/>
    <x v="2"/>
    <x v="0"/>
    <x v="21"/>
    <n v="1"/>
    <x v="5"/>
    <x v="0"/>
  </r>
  <r>
    <s v="TX500811"/>
    <x v="4"/>
    <x v="0"/>
    <n v="46"/>
    <n v="46"/>
    <x v="34"/>
    <d v="2025-02-05T00:00:00"/>
    <s v="F"/>
    <x v="0"/>
    <x v="2"/>
    <x v="0"/>
    <x v="21"/>
    <n v="1"/>
    <x v="5"/>
    <x v="2"/>
  </r>
  <r>
    <s v="TX500812"/>
    <x v="11"/>
    <x v="2"/>
    <n v="38"/>
    <n v="114"/>
    <x v="34"/>
    <d v="2025-02-06T00:00:00"/>
    <s v="F"/>
    <x v="1"/>
    <x v="2"/>
    <x v="0"/>
    <x v="21"/>
    <n v="2"/>
    <x v="5"/>
    <x v="2"/>
  </r>
  <r>
    <s v="TX500813"/>
    <x v="10"/>
    <x v="15"/>
    <n v="34.6"/>
    <n v="449.8"/>
    <x v="34"/>
    <d v="2025-02-06T00:00:00"/>
    <s v="F"/>
    <x v="0"/>
    <x v="1"/>
    <x v="0"/>
    <x v="21"/>
    <n v="2"/>
    <x v="5"/>
    <x v="2"/>
  </r>
  <r>
    <s v="TX500814"/>
    <x v="3"/>
    <x v="7"/>
    <n v="79.7"/>
    <n v="797"/>
    <x v="34"/>
    <d v="2025-02-05T00:00:00"/>
    <s v="F"/>
    <x v="4"/>
    <x v="1"/>
    <x v="0"/>
    <x v="21"/>
    <n v="1"/>
    <x v="5"/>
    <x v="2"/>
  </r>
  <r>
    <s v="TX500815"/>
    <x v="8"/>
    <x v="8"/>
    <n v="30.5"/>
    <n v="244"/>
    <x v="34"/>
    <d v="2025-02-08T00:00:00"/>
    <s v="M"/>
    <x v="3"/>
    <x v="0"/>
    <x v="0"/>
    <x v="1"/>
    <n v="4"/>
    <x v="5"/>
    <x v="1"/>
  </r>
  <r>
    <s v="TX500816"/>
    <x v="0"/>
    <x v="1"/>
    <n v="20.8"/>
    <n v="41.6"/>
    <x v="34"/>
    <d v="2025-02-05T00:00:00"/>
    <s v="F"/>
    <x v="0"/>
    <x v="0"/>
    <x v="0"/>
    <x v="2"/>
    <n v="1"/>
    <x v="5"/>
    <x v="2"/>
  </r>
  <r>
    <s v="TX500817"/>
    <x v="11"/>
    <x v="3"/>
    <n v="48.5"/>
    <n v="339.5"/>
    <x v="34"/>
    <d v="2025-02-08T00:00:00"/>
    <s v="F"/>
    <x v="2"/>
    <x v="2"/>
    <x v="0"/>
    <x v="2"/>
    <n v="4"/>
    <x v="5"/>
    <x v="2"/>
  </r>
  <r>
    <s v="TX500818"/>
    <x v="2"/>
    <x v="12"/>
    <n v="61.8"/>
    <n v="247.2"/>
    <x v="34"/>
    <d v="2025-02-08T00:00:00"/>
    <s v="F"/>
    <x v="4"/>
    <x v="0"/>
    <x v="0"/>
    <x v="22"/>
    <n v="4"/>
    <x v="5"/>
    <x v="2"/>
  </r>
  <r>
    <s v="TX500819"/>
    <x v="10"/>
    <x v="0"/>
    <n v="46.1"/>
    <n v="46.1"/>
    <x v="34"/>
    <d v="2025-02-05T00:00:00"/>
    <s v="O"/>
    <x v="2"/>
    <x v="0"/>
    <x v="0"/>
    <x v="3"/>
    <n v="1"/>
    <x v="5"/>
    <x v="3"/>
  </r>
  <r>
    <s v="TX500820"/>
    <x v="4"/>
    <x v="13"/>
    <n v="44"/>
    <n v="264"/>
    <x v="34"/>
    <d v="2025-02-05T00:00:00"/>
    <s v="F"/>
    <x v="0"/>
    <x v="0"/>
    <x v="0"/>
    <x v="3"/>
    <n v="1"/>
    <x v="5"/>
    <x v="2"/>
  </r>
  <r>
    <s v="TX500821"/>
    <x v="18"/>
    <x v="1"/>
    <n v="95.7"/>
    <n v="191.4"/>
    <x v="34"/>
    <d v="2025-02-10T00:00:00"/>
    <s v="F"/>
    <x v="3"/>
    <x v="2"/>
    <x v="0"/>
    <x v="3"/>
    <n v="6"/>
    <x v="5"/>
    <x v="2"/>
  </r>
  <r>
    <s v="TX500822"/>
    <x v="7"/>
    <x v="9"/>
    <n v="46.4"/>
    <n v="232"/>
    <x v="34"/>
    <d v="2025-02-07T00:00:00"/>
    <s v="F"/>
    <x v="0"/>
    <x v="0"/>
    <x v="0"/>
    <x v="3"/>
    <n v="3"/>
    <x v="5"/>
    <x v="2"/>
  </r>
  <r>
    <s v="TX500823"/>
    <x v="6"/>
    <x v="1"/>
    <n v="47.2"/>
    <n v="94.4"/>
    <x v="34"/>
    <d v="2025-02-06T00:00:00"/>
    <s v="F"/>
    <x v="0"/>
    <x v="2"/>
    <x v="0"/>
    <x v="3"/>
    <n v="2"/>
    <x v="5"/>
    <x v="2"/>
  </r>
  <r>
    <s v="TX500824"/>
    <x v="7"/>
    <x v="1"/>
    <n v="58.6"/>
    <n v="117.2"/>
    <x v="34"/>
    <d v="2025-02-05T00:00:00"/>
    <s v="F"/>
    <x v="2"/>
    <x v="1"/>
    <x v="0"/>
    <x v="3"/>
    <n v="1"/>
    <x v="5"/>
    <x v="2"/>
  </r>
  <r>
    <s v="TX500825"/>
    <x v="4"/>
    <x v="2"/>
    <n v="57"/>
    <n v="171"/>
    <x v="34"/>
    <d v="2025-02-05T00:00:00"/>
    <s v="M"/>
    <x v="0"/>
    <x v="2"/>
    <x v="0"/>
    <x v="3"/>
    <n v="1"/>
    <x v="5"/>
    <x v="1"/>
  </r>
  <r>
    <s v="TX500826"/>
    <x v="8"/>
    <x v="12"/>
    <n v="28.9"/>
    <n v="115.6"/>
    <x v="34"/>
    <d v="2025-02-08T00:00:00"/>
    <s v="M"/>
    <x v="2"/>
    <x v="0"/>
    <x v="0"/>
    <x v="3"/>
    <n v="4"/>
    <x v="5"/>
    <x v="1"/>
  </r>
  <r>
    <s v="TX500827"/>
    <x v="12"/>
    <x v="9"/>
    <n v="60.7"/>
    <n v="303.5"/>
    <x v="34"/>
    <d v="2025-02-08T00:00:00"/>
    <s v=""/>
    <x v="1"/>
    <x v="1"/>
    <x v="0"/>
    <x v="3"/>
    <n v="4"/>
    <x v="5"/>
    <x v="0"/>
  </r>
  <r>
    <s v="TX500828"/>
    <x v="6"/>
    <x v="9"/>
    <n v="60.8"/>
    <n v="304"/>
    <x v="34"/>
    <d v="2025-02-08T00:00:00"/>
    <s v="M"/>
    <x v="0"/>
    <x v="1"/>
    <x v="0"/>
    <x v="3"/>
    <n v="4"/>
    <x v="5"/>
    <x v="1"/>
  </r>
  <r>
    <s v="TX500829"/>
    <x v="6"/>
    <x v="9"/>
    <n v="64.599999999999994"/>
    <n v="323"/>
    <x v="34"/>
    <d v="2025-02-05T00:00:00"/>
    <s v="F"/>
    <x v="3"/>
    <x v="0"/>
    <x v="0"/>
    <x v="3"/>
    <n v="1"/>
    <x v="5"/>
    <x v="2"/>
  </r>
  <r>
    <s v="TX500830"/>
    <x v="8"/>
    <x v="0"/>
    <n v="21.9"/>
    <n v="21.9"/>
    <x v="34"/>
    <d v="2025-02-07T00:00:00"/>
    <s v="M"/>
    <x v="1"/>
    <x v="2"/>
    <x v="0"/>
    <x v="4"/>
    <n v="3"/>
    <x v="5"/>
    <x v="1"/>
  </r>
  <r>
    <s v="TX500831"/>
    <x v="4"/>
    <x v="4"/>
    <n v="33.4"/>
    <n v="400.79999999999995"/>
    <x v="34"/>
    <d v="2025-02-06T00:00:00"/>
    <s v="F"/>
    <x v="0"/>
    <x v="0"/>
    <x v="0"/>
    <x v="23"/>
    <n v="2"/>
    <x v="5"/>
    <x v="2"/>
  </r>
  <r>
    <s v="TX500832"/>
    <x v="2"/>
    <x v="0"/>
    <n v="51.7"/>
    <n v="51.7"/>
    <x v="34"/>
    <d v="2025-02-05T00:00:00"/>
    <s v=""/>
    <x v="0"/>
    <x v="0"/>
    <x v="0"/>
    <x v="6"/>
    <n v="1"/>
    <x v="5"/>
    <x v="0"/>
  </r>
  <r>
    <s v="TX500833"/>
    <x v="1"/>
    <x v="12"/>
    <n v="84.9"/>
    <n v="339.6"/>
    <x v="34"/>
    <d v="2025-02-05T00:00:00"/>
    <s v="F"/>
    <x v="1"/>
    <x v="1"/>
    <x v="0"/>
    <x v="6"/>
    <n v="1"/>
    <x v="5"/>
    <x v="2"/>
  </r>
  <r>
    <s v="TX500834"/>
    <x v="1"/>
    <x v="5"/>
    <n v="62.3"/>
    <n v="685.3"/>
    <x v="34"/>
    <d v="2025-02-05T00:00:00"/>
    <s v="F"/>
    <x v="2"/>
    <x v="2"/>
    <x v="0"/>
    <x v="7"/>
    <n v="1"/>
    <x v="5"/>
    <x v="2"/>
  </r>
  <r>
    <s v="TX500835"/>
    <x v="4"/>
    <x v="0"/>
    <n v="50.7"/>
    <n v="50.7"/>
    <x v="34"/>
    <d v="2025-02-06T00:00:00"/>
    <s v="M"/>
    <x v="2"/>
    <x v="2"/>
    <x v="0"/>
    <x v="8"/>
    <n v="2"/>
    <x v="5"/>
    <x v="1"/>
  </r>
  <r>
    <s v="TX500836"/>
    <x v="18"/>
    <x v="0"/>
    <n v="39.5"/>
    <n v="39.5"/>
    <x v="34"/>
    <d v="2025-02-05T00:00:00"/>
    <s v="M"/>
    <x v="4"/>
    <x v="1"/>
    <x v="0"/>
    <x v="8"/>
    <n v="1"/>
    <x v="5"/>
    <x v="1"/>
  </r>
  <r>
    <s v="TX500837"/>
    <x v="12"/>
    <x v="2"/>
    <n v="30.9"/>
    <n v="92.699999999999989"/>
    <x v="34"/>
    <d v="2025-02-05T00:00:00"/>
    <s v=""/>
    <x v="4"/>
    <x v="2"/>
    <x v="0"/>
    <x v="8"/>
    <n v="1"/>
    <x v="5"/>
    <x v="0"/>
  </r>
  <r>
    <s v="TX500838"/>
    <x v="1"/>
    <x v="3"/>
    <n v="36.4"/>
    <n v="254.79999999999998"/>
    <x v="34"/>
    <d v="2025-02-07T00:00:00"/>
    <s v="F"/>
    <x v="0"/>
    <x v="2"/>
    <x v="0"/>
    <x v="8"/>
    <n v="3"/>
    <x v="5"/>
    <x v="2"/>
  </r>
  <r>
    <s v="TX500839"/>
    <x v="6"/>
    <x v="8"/>
    <n v="105.6"/>
    <n v="844.8"/>
    <x v="34"/>
    <d v="2025-02-14T00:00:00"/>
    <s v="F"/>
    <x v="0"/>
    <x v="0"/>
    <x v="0"/>
    <x v="8"/>
    <n v="10"/>
    <x v="5"/>
    <x v="2"/>
  </r>
  <r>
    <s v="TX500840"/>
    <x v="8"/>
    <x v="1"/>
    <n v="22.1"/>
    <n v="44.2"/>
    <x v="34"/>
    <d v="2025-02-05T00:00:00"/>
    <s v="F"/>
    <x v="0"/>
    <x v="2"/>
    <x v="0"/>
    <x v="17"/>
    <n v="1"/>
    <x v="5"/>
    <x v="2"/>
  </r>
  <r>
    <s v="TX500841"/>
    <x v="0"/>
    <x v="2"/>
    <n v="22.6"/>
    <n v="67.800000000000011"/>
    <x v="34"/>
    <d v="2025-02-05T00:00:00"/>
    <s v="F"/>
    <x v="2"/>
    <x v="0"/>
    <x v="0"/>
    <x v="17"/>
    <n v="1"/>
    <x v="5"/>
    <x v="2"/>
  </r>
  <r>
    <s v="TX500842"/>
    <x v="10"/>
    <x v="13"/>
    <n v="26.3"/>
    <n v="157.80000000000001"/>
    <x v="34"/>
    <d v="2025-02-04T00:00:00"/>
    <s v="F"/>
    <x v="2"/>
    <x v="0"/>
    <x v="0"/>
    <x v="9"/>
    <n v="0"/>
    <x v="5"/>
    <x v="2"/>
  </r>
  <r>
    <s v="TX500843"/>
    <x v="1"/>
    <x v="12"/>
    <n v="37.799999999999997"/>
    <n v="151.19999999999999"/>
    <x v="34"/>
    <d v="2025-02-05T00:00:00"/>
    <s v="F"/>
    <x v="0"/>
    <x v="2"/>
    <x v="0"/>
    <x v="11"/>
    <n v="1"/>
    <x v="5"/>
    <x v="2"/>
  </r>
  <r>
    <s v="TX500844"/>
    <x v="6"/>
    <x v="14"/>
    <n v="96"/>
    <n v="1632"/>
    <x v="34"/>
    <d v="2025-02-07T00:00:00"/>
    <s v="F"/>
    <x v="4"/>
    <x v="1"/>
    <x v="0"/>
    <x v="18"/>
    <n v="3"/>
    <x v="5"/>
    <x v="2"/>
  </r>
  <r>
    <s v="TX500845"/>
    <x v="1"/>
    <x v="0"/>
    <n v="83.6"/>
    <n v="83.6"/>
    <x v="34"/>
    <d v="2025-02-07T00:00:00"/>
    <s v="F"/>
    <x v="2"/>
    <x v="1"/>
    <x v="0"/>
    <x v="19"/>
    <n v="3"/>
    <x v="5"/>
    <x v="2"/>
  </r>
  <r>
    <s v="TX500846"/>
    <x v="2"/>
    <x v="13"/>
    <n v="72.599999999999994"/>
    <n v="435.59999999999997"/>
    <x v="34"/>
    <d v="2025-02-05T00:00:00"/>
    <s v="F"/>
    <x v="0"/>
    <x v="0"/>
    <x v="0"/>
    <x v="21"/>
    <n v="1"/>
    <x v="5"/>
    <x v="2"/>
  </r>
  <r>
    <s v="TX500847"/>
    <x v="5"/>
    <x v="28"/>
    <n v="69.099999999999994"/>
    <n v="1382"/>
    <x v="35"/>
    <d v="2025-02-11T00:00:00"/>
    <s v="M"/>
    <x v="0"/>
    <x v="2"/>
    <x v="0"/>
    <x v="21"/>
    <n v="6"/>
    <x v="5"/>
    <x v="1"/>
  </r>
  <r>
    <s v="TX500848"/>
    <x v="4"/>
    <x v="1"/>
    <n v="22.6"/>
    <n v="45.2"/>
    <x v="35"/>
    <d v="2025-02-07T00:00:00"/>
    <s v="F"/>
    <x v="1"/>
    <x v="2"/>
    <x v="0"/>
    <x v="21"/>
    <n v="2"/>
    <x v="5"/>
    <x v="2"/>
  </r>
  <r>
    <s v="TX500849"/>
    <x v="6"/>
    <x v="1"/>
    <n v="45.3"/>
    <n v="90.6"/>
    <x v="35"/>
    <d v="2025-02-09T00:00:00"/>
    <s v="M"/>
    <x v="4"/>
    <x v="2"/>
    <x v="0"/>
    <x v="21"/>
    <n v="4"/>
    <x v="5"/>
    <x v="1"/>
  </r>
  <r>
    <s v="TX500850"/>
    <x v="2"/>
    <x v="1"/>
    <n v="115.1"/>
    <n v="230.2"/>
    <x v="35"/>
    <d v="2025-02-06T00:00:00"/>
    <s v="F"/>
    <x v="1"/>
    <x v="0"/>
    <x v="0"/>
    <x v="1"/>
    <n v="1"/>
    <x v="5"/>
    <x v="2"/>
  </r>
  <r>
    <s v="TX500851"/>
    <x v="18"/>
    <x v="12"/>
    <n v="79"/>
    <n v="316"/>
    <x v="35"/>
    <d v="2025-02-07T00:00:00"/>
    <s v="M"/>
    <x v="2"/>
    <x v="4"/>
    <x v="0"/>
    <x v="1"/>
    <n v="2"/>
    <x v="5"/>
    <x v="1"/>
  </r>
  <r>
    <s v="TX500852"/>
    <x v="6"/>
    <x v="9"/>
    <n v="52.8"/>
    <n v="264"/>
    <x v="35"/>
    <d v="2025-02-06T00:00:00"/>
    <s v="F"/>
    <x v="0"/>
    <x v="0"/>
    <x v="0"/>
    <x v="42"/>
    <n v="1"/>
    <x v="5"/>
    <x v="2"/>
  </r>
  <r>
    <s v="TX500853"/>
    <x v="8"/>
    <x v="1"/>
    <n v="34.1"/>
    <n v="68.2"/>
    <x v="35"/>
    <d v="2025-02-06T00:00:00"/>
    <s v="M"/>
    <x v="3"/>
    <x v="2"/>
    <x v="0"/>
    <x v="44"/>
    <n v="1"/>
    <x v="5"/>
    <x v="1"/>
  </r>
  <r>
    <s v="TX500854"/>
    <x v="6"/>
    <x v="9"/>
    <n v="107.9"/>
    <n v="539.5"/>
    <x v="35"/>
    <d v="2025-02-05T00:00:00"/>
    <s v="F"/>
    <x v="0"/>
    <x v="2"/>
    <x v="0"/>
    <x v="50"/>
    <n v="0"/>
    <x v="5"/>
    <x v="2"/>
  </r>
  <r>
    <s v="TX500855"/>
    <x v="8"/>
    <x v="15"/>
    <n v="48.5"/>
    <n v="630.5"/>
    <x v="35"/>
    <d v="2025-02-05T00:00:00"/>
    <s v="M"/>
    <x v="2"/>
    <x v="2"/>
    <x v="0"/>
    <x v="3"/>
    <n v="0"/>
    <x v="5"/>
    <x v="1"/>
  </r>
  <r>
    <s v="TX500856"/>
    <x v="5"/>
    <x v="2"/>
    <n v="34.700000000000003"/>
    <n v="104.10000000000001"/>
    <x v="35"/>
    <d v="2025-02-06T00:00:00"/>
    <s v=""/>
    <x v="4"/>
    <x v="1"/>
    <x v="0"/>
    <x v="3"/>
    <n v="1"/>
    <x v="5"/>
    <x v="0"/>
  </r>
  <r>
    <s v="TX500857"/>
    <x v="8"/>
    <x v="0"/>
    <n v="16.8"/>
    <n v="16.8"/>
    <x v="35"/>
    <d v="2025-02-07T00:00:00"/>
    <s v="F"/>
    <x v="3"/>
    <x v="0"/>
    <x v="0"/>
    <x v="3"/>
    <n v="2"/>
    <x v="5"/>
    <x v="2"/>
  </r>
  <r>
    <s v="TX500858"/>
    <x v="8"/>
    <x v="13"/>
    <n v="18.3"/>
    <n v="109.80000000000001"/>
    <x v="35"/>
    <d v="2025-02-08T00:00:00"/>
    <s v="F"/>
    <x v="0"/>
    <x v="0"/>
    <x v="0"/>
    <x v="3"/>
    <n v="3"/>
    <x v="5"/>
    <x v="2"/>
  </r>
  <r>
    <s v="TX500859"/>
    <x v="18"/>
    <x v="2"/>
    <n v="55.9"/>
    <n v="167.7"/>
    <x v="35"/>
    <d v="2025-02-11T00:00:00"/>
    <s v="M"/>
    <x v="3"/>
    <x v="1"/>
    <x v="0"/>
    <x v="3"/>
    <n v="6"/>
    <x v="5"/>
    <x v="1"/>
  </r>
  <r>
    <s v="TX500860"/>
    <x v="8"/>
    <x v="2"/>
    <n v="39.200000000000003"/>
    <n v="117.60000000000001"/>
    <x v="35"/>
    <d v="2025-02-07T00:00:00"/>
    <s v="F"/>
    <x v="0"/>
    <x v="1"/>
    <x v="0"/>
    <x v="3"/>
    <n v="2"/>
    <x v="5"/>
    <x v="2"/>
  </r>
  <r>
    <s v="TX500861"/>
    <x v="15"/>
    <x v="12"/>
    <n v="66.5"/>
    <n v="266"/>
    <x v="35"/>
    <d v="2025-02-07T00:00:00"/>
    <s v=""/>
    <x v="3"/>
    <x v="1"/>
    <x v="0"/>
    <x v="3"/>
    <n v="2"/>
    <x v="5"/>
    <x v="0"/>
  </r>
  <r>
    <s v="TX500862"/>
    <x v="6"/>
    <x v="13"/>
    <n v="52.1"/>
    <n v="312.60000000000002"/>
    <x v="35"/>
    <d v="2025-02-07T00:00:00"/>
    <s v="M"/>
    <x v="1"/>
    <x v="1"/>
    <x v="0"/>
    <x v="16"/>
    <n v="2"/>
    <x v="5"/>
    <x v="1"/>
  </r>
  <r>
    <s v="TX500863"/>
    <x v="8"/>
    <x v="1"/>
    <n v="19"/>
    <n v="38"/>
    <x v="35"/>
    <d v="2025-02-06T00:00:00"/>
    <s v="M"/>
    <x v="4"/>
    <x v="2"/>
    <x v="0"/>
    <x v="6"/>
    <n v="1"/>
    <x v="5"/>
    <x v="1"/>
  </r>
  <r>
    <s v="TX500864"/>
    <x v="7"/>
    <x v="2"/>
    <n v="84.8"/>
    <n v="254.39999999999998"/>
    <x v="35"/>
    <d v="2025-02-07T00:00:00"/>
    <s v="F"/>
    <x v="2"/>
    <x v="0"/>
    <x v="0"/>
    <x v="8"/>
    <n v="2"/>
    <x v="5"/>
    <x v="2"/>
  </r>
  <r>
    <s v="TX500865"/>
    <x v="2"/>
    <x v="12"/>
    <n v="63.9"/>
    <n v="255.6"/>
    <x v="35"/>
    <d v="2025-02-08T00:00:00"/>
    <s v="F"/>
    <x v="0"/>
    <x v="0"/>
    <x v="0"/>
    <x v="8"/>
    <n v="3"/>
    <x v="5"/>
    <x v="2"/>
  </r>
  <r>
    <s v="TX500866"/>
    <x v="2"/>
    <x v="2"/>
    <n v="65.5"/>
    <n v="196.5"/>
    <x v="35"/>
    <d v="2025-02-05T00:00:00"/>
    <s v="F"/>
    <x v="1"/>
    <x v="1"/>
    <x v="0"/>
    <x v="8"/>
    <n v="0"/>
    <x v="5"/>
    <x v="2"/>
  </r>
  <r>
    <s v="TX500867"/>
    <x v="12"/>
    <x v="1"/>
    <n v="116.2"/>
    <n v="232.4"/>
    <x v="35"/>
    <d v="2025-02-11T00:00:00"/>
    <s v="M"/>
    <x v="3"/>
    <x v="0"/>
    <x v="0"/>
    <x v="17"/>
    <n v="6"/>
    <x v="5"/>
    <x v="1"/>
  </r>
  <r>
    <s v="TX500868"/>
    <x v="10"/>
    <x v="12"/>
    <n v="22.9"/>
    <n v="91.6"/>
    <x v="35"/>
    <d v="2025-02-07T00:00:00"/>
    <s v="F"/>
    <x v="2"/>
    <x v="1"/>
    <x v="0"/>
    <x v="38"/>
    <n v="2"/>
    <x v="5"/>
    <x v="2"/>
  </r>
  <r>
    <s v="TX500869"/>
    <x v="10"/>
    <x v="2"/>
    <n v="53.7"/>
    <n v="161.10000000000002"/>
    <x v="35"/>
    <d v="2025-02-06T00:00:00"/>
    <s v="M"/>
    <x v="0"/>
    <x v="4"/>
    <x v="0"/>
    <x v="18"/>
    <n v="1"/>
    <x v="5"/>
    <x v="1"/>
  </r>
  <r>
    <s v="TX500870"/>
    <x v="6"/>
    <x v="9"/>
    <n v="43.2"/>
    <n v="216"/>
    <x v="35"/>
    <d v="2025-02-07T00:00:00"/>
    <s v="F"/>
    <x v="0"/>
    <x v="0"/>
    <x v="0"/>
    <x v="19"/>
    <n v="2"/>
    <x v="5"/>
    <x v="2"/>
  </r>
  <r>
    <s v="TX500871"/>
    <x v="1"/>
    <x v="2"/>
    <n v="84.5"/>
    <n v="253.5"/>
    <x v="35"/>
    <d v="2025-02-07T00:00:00"/>
    <s v="M"/>
    <x v="2"/>
    <x v="2"/>
    <x v="0"/>
    <x v="51"/>
    <n v="2"/>
    <x v="5"/>
    <x v="1"/>
  </r>
  <r>
    <s v="TX500872"/>
    <x v="3"/>
    <x v="1"/>
    <n v="42.2"/>
    <n v="84.4"/>
    <x v="35"/>
    <d v="2025-02-06T00:00:00"/>
    <s v="F"/>
    <x v="1"/>
    <x v="2"/>
    <x v="0"/>
    <x v="1"/>
    <n v="1"/>
    <x v="5"/>
    <x v="2"/>
  </r>
  <r>
    <s v="TX500873"/>
    <x v="2"/>
    <x v="13"/>
    <n v="94.7"/>
    <n v="568.20000000000005"/>
    <x v="35"/>
    <d v="2025-02-08T00:00:00"/>
    <s v="F"/>
    <x v="1"/>
    <x v="2"/>
    <x v="0"/>
    <x v="2"/>
    <n v="3"/>
    <x v="5"/>
    <x v="2"/>
  </r>
  <r>
    <s v="TX500874"/>
    <x v="8"/>
    <x v="16"/>
    <n v="16.7"/>
    <n v="300.59999999999997"/>
    <x v="35"/>
    <d v="2025-02-17T00:00:00"/>
    <s v="F"/>
    <x v="0"/>
    <x v="2"/>
    <x v="0"/>
    <x v="2"/>
    <n v="12"/>
    <x v="5"/>
    <x v="2"/>
  </r>
  <r>
    <s v="TX500875"/>
    <x v="2"/>
    <x v="1"/>
    <n v="83.6"/>
    <n v="167.2"/>
    <x v="35"/>
    <d v="2025-02-11T00:00:00"/>
    <s v="F"/>
    <x v="1"/>
    <x v="0"/>
    <x v="0"/>
    <x v="3"/>
    <n v="6"/>
    <x v="5"/>
    <x v="2"/>
  </r>
  <r>
    <s v="TX500876"/>
    <x v="7"/>
    <x v="13"/>
    <n v="33.6"/>
    <n v="201.60000000000002"/>
    <x v="36"/>
    <d v="2025-02-07T00:00:00"/>
    <s v="F"/>
    <x v="3"/>
    <x v="0"/>
    <x v="0"/>
    <x v="3"/>
    <n v="1"/>
    <x v="5"/>
    <x v="2"/>
  </r>
  <r>
    <s v="TX500877"/>
    <x v="7"/>
    <x v="1"/>
    <n v="64.7"/>
    <n v="129.4"/>
    <x v="36"/>
    <d v="2025-02-08T00:00:00"/>
    <s v="M"/>
    <x v="1"/>
    <x v="2"/>
    <x v="0"/>
    <x v="3"/>
    <n v="2"/>
    <x v="5"/>
    <x v="1"/>
  </r>
  <r>
    <s v="TX500878"/>
    <x v="0"/>
    <x v="2"/>
    <n v="15.7"/>
    <n v="47.099999999999994"/>
    <x v="36"/>
    <d v="2025-02-12T00:00:00"/>
    <s v="F"/>
    <x v="0"/>
    <x v="0"/>
    <x v="0"/>
    <x v="3"/>
    <n v="6"/>
    <x v="5"/>
    <x v="2"/>
  </r>
  <r>
    <s v="TX500879"/>
    <x v="15"/>
    <x v="13"/>
    <n v="49.4"/>
    <n v="296.39999999999998"/>
    <x v="36"/>
    <d v="2025-02-06T00:00:00"/>
    <s v="M"/>
    <x v="1"/>
    <x v="0"/>
    <x v="0"/>
    <x v="3"/>
    <n v="0"/>
    <x v="5"/>
    <x v="1"/>
  </r>
  <r>
    <s v="TX500880"/>
    <x v="10"/>
    <x v="13"/>
    <n v="37"/>
    <n v="222"/>
    <x v="36"/>
    <d v="2025-02-09T00:00:00"/>
    <s v="F"/>
    <x v="1"/>
    <x v="2"/>
    <x v="0"/>
    <x v="3"/>
    <n v="3"/>
    <x v="5"/>
    <x v="2"/>
  </r>
  <r>
    <s v="TX500881"/>
    <x v="2"/>
    <x v="1"/>
    <n v="83.7"/>
    <n v="167.4"/>
    <x v="36"/>
    <d v="2025-02-08T00:00:00"/>
    <s v="F"/>
    <x v="3"/>
    <x v="2"/>
    <x v="0"/>
    <x v="3"/>
    <n v="2"/>
    <x v="5"/>
    <x v="2"/>
  </r>
  <r>
    <s v="TX500882"/>
    <x v="1"/>
    <x v="9"/>
    <n v="35.1"/>
    <n v="175.5"/>
    <x v="36"/>
    <d v="2025-02-07T00:00:00"/>
    <s v="F"/>
    <x v="0"/>
    <x v="0"/>
    <x v="0"/>
    <x v="3"/>
    <n v="1"/>
    <x v="5"/>
    <x v="2"/>
  </r>
  <r>
    <s v="TX500883"/>
    <x v="16"/>
    <x v="8"/>
    <n v="74"/>
    <n v="592"/>
    <x v="36"/>
    <d v="2025-02-07T00:00:00"/>
    <s v="F"/>
    <x v="4"/>
    <x v="0"/>
    <x v="0"/>
    <x v="37"/>
    <n v="1"/>
    <x v="5"/>
    <x v="2"/>
  </r>
  <r>
    <s v="TX500884"/>
    <x v="6"/>
    <x v="25"/>
    <n v="55.5"/>
    <n v="1332"/>
    <x v="36"/>
    <d v="2025-02-09T00:00:00"/>
    <s v="M"/>
    <x v="3"/>
    <x v="0"/>
    <x v="0"/>
    <x v="49"/>
    <n v="3"/>
    <x v="5"/>
    <x v="1"/>
  </r>
  <r>
    <s v="TX500885"/>
    <x v="11"/>
    <x v="1"/>
    <n v="38.9"/>
    <n v="77.8"/>
    <x v="36"/>
    <d v="2025-02-08T00:00:00"/>
    <s v="F"/>
    <x v="1"/>
    <x v="2"/>
    <x v="0"/>
    <x v="25"/>
    <n v="2"/>
    <x v="5"/>
    <x v="2"/>
  </r>
  <r>
    <s v="TX500886"/>
    <x v="16"/>
    <x v="1"/>
    <n v="64.599999999999994"/>
    <n v="129.19999999999999"/>
    <x v="36"/>
    <d v="2025-02-13T00:00:00"/>
    <s v="M"/>
    <x v="2"/>
    <x v="1"/>
    <x v="0"/>
    <x v="25"/>
    <n v="7"/>
    <x v="5"/>
    <x v="1"/>
  </r>
  <r>
    <s v="TX500887"/>
    <x v="2"/>
    <x v="2"/>
    <n v="95.3"/>
    <n v="285.89999999999998"/>
    <x v="36"/>
    <d v="2025-02-07T00:00:00"/>
    <s v="M"/>
    <x v="0"/>
    <x v="0"/>
    <x v="0"/>
    <x v="5"/>
    <n v="1"/>
    <x v="5"/>
    <x v="1"/>
  </r>
  <r>
    <s v="TX500888"/>
    <x v="13"/>
    <x v="2"/>
    <n v="25.8"/>
    <n v="77.400000000000006"/>
    <x v="36"/>
    <d v="2025-02-07T00:00:00"/>
    <s v="F"/>
    <x v="1"/>
    <x v="1"/>
    <x v="0"/>
    <x v="6"/>
    <n v="1"/>
    <x v="5"/>
    <x v="2"/>
  </r>
  <r>
    <s v="TX500889"/>
    <x v="0"/>
    <x v="1"/>
    <n v="11.6"/>
    <n v="23.2"/>
    <x v="36"/>
    <d v="2025-02-10T00:00:00"/>
    <s v="F"/>
    <x v="1"/>
    <x v="1"/>
    <x v="0"/>
    <x v="6"/>
    <n v="4"/>
    <x v="5"/>
    <x v="2"/>
  </r>
  <r>
    <s v="TX500890"/>
    <x v="7"/>
    <x v="0"/>
    <n v="52.3"/>
    <n v="52.3"/>
    <x v="36"/>
    <d v="2025-02-07T00:00:00"/>
    <s v="F"/>
    <x v="1"/>
    <x v="0"/>
    <x v="0"/>
    <x v="8"/>
    <n v="1"/>
    <x v="5"/>
    <x v="2"/>
  </r>
  <r>
    <s v="TX500891"/>
    <x v="2"/>
    <x v="7"/>
    <n v="112.2"/>
    <n v="1122"/>
    <x v="36"/>
    <d v="2025-02-07T00:00:00"/>
    <s v="F"/>
    <x v="1"/>
    <x v="1"/>
    <x v="0"/>
    <x v="8"/>
    <n v="1"/>
    <x v="5"/>
    <x v="2"/>
  </r>
  <r>
    <s v="TX500892"/>
    <x v="4"/>
    <x v="9"/>
    <n v="34.6"/>
    <n v="173"/>
    <x v="36"/>
    <d v="2025-02-08T00:00:00"/>
    <s v="M"/>
    <x v="2"/>
    <x v="0"/>
    <x v="0"/>
    <x v="8"/>
    <n v="2"/>
    <x v="5"/>
    <x v="1"/>
  </r>
  <r>
    <s v="TX500893"/>
    <x v="14"/>
    <x v="12"/>
    <n v="20.100000000000001"/>
    <n v="80.400000000000006"/>
    <x v="36"/>
    <d v="2025-02-12T00:00:00"/>
    <s v="M"/>
    <x v="1"/>
    <x v="2"/>
    <x v="0"/>
    <x v="8"/>
    <n v="6"/>
    <x v="5"/>
    <x v="1"/>
  </r>
  <r>
    <s v="TX500894"/>
    <x v="2"/>
    <x v="12"/>
    <n v="56.4"/>
    <n v="225.6"/>
    <x v="36"/>
    <d v="2025-02-08T00:00:00"/>
    <s v="F"/>
    <x v="2"/>
    <x v="0"/>
    <x v="0"/>
    <x v="10"/>
    <n v="2"/>
    <x v="5"/>
    <x v="2"/>
  </r>
  <r>
    <s v="TX500895"/>
    <x v="13"/>
    <x v="11"/>
    <n v="55.3"/>
    <n v="497.7"/>
    <x v="36"/>
    <d v="2025-02-08T00:00:00"/>
    <s v="F"/>
    <x v="1"/>
    <x v="4"/>
    <x v="0"/>
    <x v="11"/>
    <n v="2"/>
    <x v="5"/>
    <x v="2"/>
  </r>
  <r>
    <s v="TX500896"/>
    <x v="2"/>
    <x v="31"/>
    <n v="75.5"/>
    <n v="2114"/>
    <x v="36"/>
    <d v="2025-02-07T00:00:00"/>
    <s v="F"/>
    <x v="0"/>
    <x v="0"/>
    <x v="0"/>
    <x v="11"/>
    <n v="1"/>
    <x v="5"/>
    <x v="2"/>
  </r>
  <r>
    <s v="TX500897"/>
    <x v="8"/>
    <x v="0"/>
    <n v="23.6"/>
    <n v="23.6"/>
    <x v="36"/>
    <d v="2025-02-11T00:00:00"/>
    <s v="F"/>
    <x v="0"/>
    <x v="0"/>
    <x v="0"/>
    <x v="19"/>
    <n v="5"/>
    <x v="5"/>
    <x v="2"/>
  </r>
  <r>
    <s v="TX500898"/>
    <x v="9"/>
    <x v="1"/>
    <n v="70.7"/>
    <n v="141.4"/>
    <x v="36"/>
    <d v="2025-02-08T00:00:00"/>
    <s v="F"/>
    <x v="2"/>
    <x v="0"/>
    <x v="0"/>
    <x v="19"/>
    <n v="2"/>
    <x v="5"/>
    <x v="2"/>
  </r>
  <r>
    <s v="TX500899"/>
    <x v="12"/>
    <x v="1"/>
    <n v="43.2"/>
    <n v="86.4"/>
    <x v="36"/>
    <d v="2025-02-07T00:00:00"/>
    <s v="F"/>
    <x v="2"/>
    <x v="0"/>
    <x v="0"/>
    <x v="31"/>
    <n v="1"/>
    <x v="5"/>
    <x v="2"/>
  </r>
  <r>
    <s v="TX500900"/>
    <x v="9"/>
    <x v="11"/>
    <n v="70"/>
    <n v="630"/>
    <x v="36"/>
    <d v="2025-02-07T00:00:00"/>
    <s v=""/>
    <x v="1"/>
    <x v="0"/>
    <x v="0"/>
    <x v="52"/>
    <n v="1"/>
    <x v="5"/>
    <x v="0"/>
  </r>
  <r>
    <s v="TX500901"/>
    <x v="0"/>
    <x v="1"/>
    <n v="20.5"/>
    <n v="41"/>
    <x v="36"/>
    <d v="2025-02-08T00:00:00"/>
    <s v="F"/>
    <x v="2"/>
    <x v="4"/>
    <x v="0"/>
    <x v="13"/>
    <n v="2"/>
    <x v="5"/>
    <x v="2"/>
  </r>
  <r>
    <s v="TX500902"/>
    <x v="0"/>
    <x v="12"/>
    <n v="29.1"/>
    <n v="116.4"/>
    <x v="36"/>
    <d v="2025-02-07T00:00:00"/>
    <s v="F"/>
    <x v="3"/>
    <x v="0"/>
    <x v="0"/>
    <x v="28"/>
    <n v="1"/>
    <x v="5"/>
    <x v="2"/>
  </r>
  <r>
    <s v="TX500903"/>
    <x v="6"/>
    <x v="11"/>
    <n v="53.6"/>
    <n v="482.40000000000003"/>
    <x v="36"/>
    <d v="2025-02-07T00:00:00"/>
    <s v="M"/>
    <x v="2"/>
    <x v="1"/>
    <x v="0"/>
    <x v="3"/>
    <n v="1"/>
    <x v="5"/>
    <x v="1"/>
  </r>
  <r>
    <s v="TX500904"/>
    <x v="6"/>
    <x v="9"/>
    <n v="72.3"/>
    <n v="361.5"/>
    <x v="36"/>
    <d v="2025-02-08T00:00:00"/>
    <s v="F"/>
    <x v="1"/>
    <x v="0"/>
    <x v="0"/>
    <x v="3"/>
    <n v="2"/>
    <x v="5"/>
    <x v="2"/>
  </r>
  <r>
    <s v="TX500905"/>
    <x v="13"/>
    <x v="12"/>
    <n v="22.6"/>
    <n v="90.4"/>
    <x v="36"/>
    <d v="2025-02-09T00:00:00"/>
    <s v="O"/>
    <x v="0"/>
    <x v="1"/>
    <x v="0"/>
    <x v="3"/>
    <n v="3"/>
    <x v="5"/>
    <x v="3"/>
  </r>
  <r>
    <s v="TX500906"/>
    <x v="9"/>
    <x v="1"/>
    <n v="44.2"/>
    <n v="88.4"/>
    <x v="36"/>
    <d v="2025-02-10T00:00:00"/>
    <s v=""/>
    <x v="2"/>
    <x v="4"/>
    <x v="0"/>
    <x v="3"/>
    <n v="4"/>
    <x v="5"/>
    <x v="0"/>
  </r>
  <r>
    <s v="TX500907"/>
    <x v="9"/>
    <x v="2"/>
    <n v="94.1"/>
    <n v="282.29999999999995"/>
    <x v="36"/>
    <d v="2025-02-19T00:00:00"/>
    <s v="F"/>
    <x v="2"/>
    <x v="2"/>
    <x v="0"/>
    <x v="3"/>
    <n v="13"/>
    <x v="5"/>
    <x v="2"/>
  </r>
  <r>
    <s v="TX500908"/>
    <x v="8"/>
    <x v="2"/>
    <n v="17.899999999999999"/>
    <n v="53.699999999999996"/>
    <x v="36"/>
    <d v="2025-02-08T00:00:00"/>
    <s v="M"/>
    <x v="1"/>
    <x v="1"/>
    <x v="0"/>
    <x v="3"/>
    <n v="2"/>
    <x v="5"/>
    <x v="1"/>
  </r>
  <r>
    <s v="TX500909"/>
    <x v="12"/>
    <x v="3"/>
    <n v="52.7"/>
    <n v="368.90000000000003"/>
    <x v="36"/>
    <d v="2025-02-07T00:00:00"/>
    <s v="M"/>
    <x v="1"/>
    <x v="1"/>
    <x v="0"/>
    <x v="3"/>
    <n v="1"/>
    <x v="5"/>
    <x v="1"/>
  </r>
  <r>
    <s v="TX500910"/>
    <x v="8"/>
    <x v="0"/>
    <n v="36.799999999999997"/>
    <n v="36.799999999999997"/>
    <x v="36"/>
    <d v="2025-02-06T00:00:00"/>
    <s v=""/>
    <x v="0"/>
    <x v="2"/>
    <x v="0"/>
    <x v="3"/>
    <n v="0"/>
    <x v="5"/>
    <x v="0"/>
  </r>
  <r>
    <s v="TX500911"/>
    <x v="4"/>
    <x v="0"/>
    <n v="52.5"/>
    <n v="52.5"/>
    <x v="36"/>
    <d v="2025-02-07T00:00:00"/>
    <s v="M"/>
    <x v="0"/>
    <x v="1"/>
    <x v="0"/>
    <x v="6"/>
    <n v="1"/>
    <x v="5"/>
    <x v="1"/>
  </r>
  <r>
    <s v="TX500912"/>
    <x v="2"/>
    <x v="1"/>
    <n v="133.80000000000001"/>
    <n v="267.60000000000002"/>
    <x v="36"/>
    <d v="2025-02-08T00:00:00"/>
    <s v="M"/>
    <x v="0"/>
    <x v="1"/>
    <x v="0"/>
    <x v="7"/>
    <n v="2"/>
    <x v="5"/>
    <x v="1"/>
  </r>
  <r>
    <s v="TX500913"/>
    <x v="6"/>
    <x v="1"/>
    <n v="53.2"/>
    <n v="106.4"/>
    <x v="36"/>
    <d v="2025-02-08T00:00:00"/>
    <s v="M"/>
    <x v="0"/>
    <x v="0"/>
    <x v="0"/>
    <x v="17"/>
    <n v="2"/>
    <x v="5"/>
    <x v="1"/>
  </r>
  <r>
    <s v="TX500914"/>
    <x v="14"/>
    <x v="13"/>
    <n v="18.7"/>
    <n v="112.19999999999999"/>
    <x v="36"/>
    <d v="2025-02-08T00:00:00"/>
    <s v=""/>
    <x v="0"/>
    <x v="1"/>
    <x v="0"/>
    <x v="10"/>
    <n v="2"/>
    <x v="5"/>
    <x v="0"/>
  </r>
  <r>
    <s v="TX500915"/>
    <x v="6"/>
    <x v="12"/>
    <n v="108.8"/>
    <n v="435.2"/>
    <x v="36"/>
    <d v="2025-02-07T00:00:00"/>
    <s v="F"/>
    <x v="3"/>
    <x v="2"/>
    <x v="0"/>
    <x v="11"/>
    <n v="1"/>
    <x v="5"/>
    <x v="2"/>
  </r>
  <r>
    <s v="TX500916"/>
    <x v="15"/>
    <x v="9"/>
    <n v="38.5"/>
    <n v="192.5"/>
    <x v="36"/>
    <d v="2025-02-10T00:00:00"/>
    <s v="F"/>
    <x v="0"/>
    <x v="1"/>
    <x v="0"/>
    <x v="14"/>
    <n v="4"/>
    <x v="5"/>
    <x v="2"/>
  </r>
  <r>
    <s v="TX500917"/>
    <x v="10"/>
    <x v="7"/>
    <n v="46.5"/>
    <n v="465"/>
    <x v="36"/>
    <d v="2025-02-08T00:00:00"/>
    <s v="M"/>
    <x v="2"/>
    <x v="1"/>
    <x v="0"/>
    <x v="2"/>
    <n v="2"/>
    <x v="5"/>
    <x v="1"/>
  </r>
  <r>
    <s v="TX500918"/>
    <x v="2"/>
    <x v="2"/>
    <n v="75.8"/>
    <n v="227.39999999999998"/>
    <x v="36"/>
    <d v="2025-02-10T00:00:00"/>
    <s v="F"/>
    <x v="1"/>
    <x v="4"/>
    <x v="0"/>
    <x v="44"/>
    <n v="4"/>
    <x v="5"/>
    <x v="2"/>
  </r>
  <r>
    <s v="TX500919"/>
    <x v="8"/>
    <x v="0"/>
    <n v="20.9"/>
    <n v="20.9"/>
    <x v="36"/>
    <d v="2025-02-10T00:00:00"/>
    <s v="M"/>
    <x v="0"/>
    <x v="0"/>
    <x v="0"/>
    <x v="22"/>
    <n v="4"/>
    <x v="5"/>
    <x v="1"/>
  </r>
  <r>
    <s v="TX500920"/>
    <x v="18"/>
    <x v="2"/>
    <n v="47.4"/>
    <n v="142.19999999999999"/>
    <x v="36"/>
    <d v="2025-02-09T00:00:00"/>
    <s v="F"/>
    <x v="0"/>
    <x v="0"/>
    <x v="0"/>
    <x v="3"/>
    <n v="3"/>
    <x v="5"/>
    <x v="2"/>
  </r>
  <r>
    <s v="TX500921"/>
    <x v="9"/>
    <x v="1"/>
    <n v="53.8"/>
    <n v="107.6"/>
    <x v="36"/>
    <d v="2025-02-07T00:00:00"/>
    <s v=""/>
    <x v="0"/>
    <x v="1"/>
    <x v="0"/>
    <x v="3"/>
    <n v="1"/>
    <x v="5"/>
    <x v="0"/>
  </r>
  <r>
    <s v="TX500922"/>
    <x v="8"/>
    <x v="2"/>
    <n v="24.6"/>
    <n v="73.800000000000011"/>
    <x v="36"/>
    <d v="2025-02-08T00:00:00"/>
    <s v="O"/>
    <x v="1"/>
    <x v="2"/>
    <x v="0"/>
    <x v="3"/>
    <n v="2"/>
    <x v="5"/>
    <x v="3"/>
  </r>
  <r>
    <s v="TX500923"/>
    <x v="9"/>
    <x v="2"/>
    <n v="70.900000000000006"/>
    <n v="212.70000000000002"/>
    <x v="36"/>
    <d v="2025-02-11T00:00:00"/>
    <s v="F"/>
    <x v="2"/>
    <x v="2"/>
    <x v="0"/>
    <x v="3"/>
    <n v="5"/>
    <x v="5"/>
    <x v="2"/>
  </r>
  <r>
    <s v="TX500924"/>
    <x v="17"/>
    <x v="2"/>
    <n v="31.9"/>
    <n v="95.699999999999989"/>
    <x v="36"/>
    <d v="2025-02-08T00:00:00"/>
    <s v="F"/>
    <x v="2"/>
    <x v="2"/>
    <x v="0"/>
    <x v="3"/>
    <n v="2"/>
    <x v="5"/>
    <x v="2"/>
  </r>
  <r>
    <s v="TX500925"/>
    <x v="0"/>
    <x v="1"/>
    <n v="20.399999999999999"/>
    <n v="40.799999999999997"/>
    <x v="36"/>
    <d v="2025-02-10T00:00:00"/>
    <s v="M"/>
    <x v="3"/>
    <x v="2"/>
    <x v="0"/>
    <x v="3"/>
    <n v="4"/>
    <x v="5"/>
    <x v="1"/>
  </r>
  <r>
    <s v="TX500926"/>
    <x v="8"/>
    <x v="1"/>
    <n v="18.600000000000001"/>
    <n v="37.200000000000003"/>
    <x v="36"/>
    <d v="2025-02-08T00:00:00"/>
    <s v=""/>
    <x v="0"/>
    <x v="1"/>
    <x v="0"/>
    <x v="3"/>
    <n v="2"/>
    <x v="5"/>
    <x v="0"/>
  </r>
  <r>
    <s v="TX500927"/>
    <x v="4"/>
    <x v="9"/>
    <n v="48.3"/>
    <n v="241.5"/>
    <x v="36"/>
    <d v="2025-02-08T00:00:00"/>
    <s v="F"/>
    <x v="1"/>
    <x v="0"/>
    <x v="0"/>
    <x v="3"/>
    <n v="2"/>
    <x v="5"/>
    <x v="2"/>
  </r>
  <r>
    <s v="TX500928"/>
    <x v="0"/>
    <x v="12"/>
    <n v="27.7"/>
    <n v="110.8"/>
    <x v="36"/>
    <d v="2025-02-08T00:00:00"/>
    <s v="F"/>
    <x v="0"/>
    <x v="0"/>
    <x v="0"/>
    <x v="3"/>
    <n v="2"/>
    <x v="5"/>
    <x v="2"/>
  </r>
  <r>
    <s v="TX500929"/>
    <x v="4"/>
    <x v="9"/>
    <n v="22.5"/>
    <n v="112.5"/>
    <x v="36"/>
    <d v="2025-02-08T00:00:00"/>
    <s v="F"/>
    <x v="4"/>
    <x v="2"/>
    <x v="0"/>
    <x v="3"/>
    <n v="2"/>
    <x v="5"/>
    <x v="2"/>
  </r>
  <r>
    <s v="TX500930"/>
    <x v="17"/>
    <x v="9"/>
    <n v="21.6"/>
    <n v="108"/>
    <x v="36"/>
    <d v="2025-02-14T00:00:00"/>
    <s v="F"/>
    <x v="0"/>
    <x v="1"/>
    <x v="0"/>
    <x v="3"/>
    <n v="8"/>
    <x v="5"/>
    <x v="2"/>
  </r>
  <r>
    <s v="TX500931"/>
    <x v="10"/>
    <x v="3"/>
    <n v="26.3"/>
    <n v="184.1"/>
    <x v="36"/>
    <d v="2025-02-06T00:00:00"/>
    <s v="F"/>
    <x v="2"/>
    <x v="1"/>
    <x v="0"/>
    <x v="3"/>
    <n v="0"/>
    <x v="5"/>
    <x v="2"/>
  </r>
  <r>
    <s v="TX500932"/>
    <x v="6"/>
    <x v="3"/>
    <n v="103"/>
    <n v="721"/>
    <x v="37"/>
    <d v="2025-02-08T00:00:00"/>
    <s v="M"/>
    <x v="0"/>
    <x v="2"/>
    <x v="0"/>
    <x v="6"/>
    <n v="1"/>
    <x v="5"/>
    <x v="1"/>
  </r>
  <r>
    <s v="TX500933"/>
    <x v="5"/>
    <x v="20"/>
    <n v="46.6"/>
    <n v="699"/>
    <x v="37"/>
    <d v="2025-02-08T00:00:00"/>
    <s v="F"/>
    <x v="0"/>
    <x v="1"/>
    <x v="0"/>
    <x v="6"/>
    <n v="1"/>
    <x v="5"/>
    <x v="2"/>
  </r>
  <r>
    <s v="TX500934"/>
    <x v="0"/>
    <x v="9"/>
    <n v="32.200000000000003"/>
    <n v="161"/>
    <x v="37"/>
    <d v="2025-02-10T00:00:00"/>
    <s v="F"/>
    <x v="0"/>
    <x v="2"/>
    <x v="0"/>
    <x v="36"/>
    <n v="3"/>
    <x v="5"/>
    <x v="2"/>
  </r>
  <r>
    <s v="TX500935"/>
    <x v="8"/>
    <x v="2"/>
    <n v="22"/>
    <n v="66"/>
    <x v="37"/>
    <d v="2025-02-14T00:00:00"/>
    <s v="M"/>
    <x v="1"/>
    <x v="0"/>
    <x v="0"/>
    <x v="7"/>
    <n v="7"/>
    <x v="5"/>
    <x v="1"/>
  </r>
  <r>
    <s v="TX500936"/>
    <x v="0"/>
    <x v="1"/>
    <n v="25.2"/>
    <n v="50.4"/>
    <x v="37"/>
    <d v="2025-02-11T00:00:00"/>
    <s v="F"/>
    <x v="0"/>
    <x v="0"/>
    <x v="0"/>
    <x v="7"/>
    <n v="4"/>
    <x v="5"/>
    <x v="2"/>
  </r>
  <r>
    <s v="TX500937"/>
    <x v="1"/>
    <x v="13"/>
    <n v="68.7"/>
    <n v="412.20000000000005"/>
    <x v="37"/>
    <d v="2025-02-09T00:00:00"/>
    <s v="M"/>
    <x v="4"/>
    <x v="0"/>
    <x v="0"/>
    <x v="8"/>
    <n v="2"/>
    <x v="5"/>
    <x v="1"/>
  </r>
  <r>
    <s v="TX500938"/>
    <x v="0"/>
    <x v="2"/>
    <n v="22.2"/>
    <n v="66.599999999999994"/>
    <x v="37"/>
    <d v="2025-02-10T00:00:00"/>
    <s v="M"/>
    <x v="2"/>
    <x v="2"/>
    <x v="0"/>
    <x v="8"/>
    <n v="3"/>
    <x v="5"/>
    <x v="1"/>
  </r>
  <r>
    <s v="TX500939"/>
    <x v="1"/>
    <x v="3"/>
    <n v="36"/>
    <n v="252"/>
    <x v="37"/>
    <d v="2025-02-08T00:00:00"/>
    <s v="F"/>
    <x v="1"/>
    <x v="0"/>
    <x v="0"/>
    <x v="8"/>
    <n v="1"/>
    <x v="5"/>
    <x v="2"/>
  </r>
  <r>
    <s v="TX500940"/>
    <x v="18"/>
    <x v="0"/>
    <n v="50.6"/>
    <n v="50.6"/>
    <x v="37"/>
    <d v="2025-02-09T00:00:00"/>
    <s v="F"/>
    <x v="0"/>
    <x v="1"/>
    <x v="0"/>
    <x v="8"/>
    <n v="2"/>
    <x v="5"/>
    <x v="2"/>
  </r>
  <r>
    <s v="TX500941"/>
    <x v="15"/>
    <x v="1"/>
    <n v="44.9"/>
    <n v="89.8"/>
    <x v="37"/>
    <d v="2025-02-09T00:00:00"/>
    <s v="M"/>
    <x v="0"/>
    <x v="1"/>
    <x v="0"/>
    <x v="8"/>
    <n v="2"/>
    <x v="5"/>
    <x v="1"/>
  </r>
  <r>
    <s v="TX500942"/>
    <x v="6"/>
    <x v="2"/>
    <n v="71.599999999999994"/>
    <n v="214.79999999999998"/>
    <x v="37"/>
    <d v="2025-02-11T00:00:00"/>
    <s v="M"/>
    <x v="1"/>
    <x v="2"/>
    <x v="0"/>
    <x v="10"/>
    <n v="4"/>
    <x v="5"/>
    <x v="1"/>
  </r>
  <r>
    <s v="TX500943"/>
    <x v="6"/>
    <x v="13"/>
    <n v="51.5"/>
    <n v="309"/>
    <x v="37"/>
    <d v="2025-02-09T00:00:00"/>
    <s v=""/>
    <x v="4"/>
    <x v="0"/>
    <x v="0"/>
    <x v="11"/>
    <n v="2"/>
    <x v="5"/>
    <x v="0"/>
  </r>
  <r>
    <s v="TX500944"/>
    <x v="7"/>
    <x v="9"/>
    <n v="55.5"/>
    <n v="277.5"/>
    <x v="37"/>
    <d v="2025-02-08T00:00:00"/>
    <s v="M"/>
    <x v="1"/>
    <x v="1"/>
    <x v="0"/>
    <x v="11"/>
    <n v="1"/>
    <x v="5"/>
    <x v="1"/>
  </r>
  <r>
    <s v="TX500945"/>
    <x v="6"/>
    <x v="0"/>
    <n v="51.7"/>
    <n v="51.7"/>
    <x v="37"/>
    <d v="2025-02-21T00:00:00"/>
    <s v="M"/>
    <x v="2"/>
    <x v="0"/>
    <x v="0"/>
    <x v="19"/>
    <n v="14"/>
    <x v="5"/>
    <x v="1"/>
  </r>
  <r>
    <s v="TX500946"/>
    <x v="8"/>
    <x v="38"/>
    <n v="45.5"/>
    <n v="955.5"/>
    <x v="37"/>
    <d v="2025-02-08T00:00:00"/>
    <s v="F"/>
    <x v="3"/>
    <x v="2"/>
    <x v="0"/>
    <x v="19"/>
    <n v="1"/>
    <x v="5"/>
    <x v="2"/>
  </r>
  <r>
    <s v="TX500947"/>
    <x v="8"/>
    <x v="1"/>
    <n v="33.799999999999997"/>
    <n v="67.599999999999994"/>
    <x v="37"/>
    <d v="2025-02-13T00:00:00"/>
    <s v="F"/>
    <x v="3"/>
    <x v="0"/>
    <x v="0"/>
    <x v="20"/>
    <n v="6"/>
    <x v="5"/>
    <x v="2"/>
  </r>
  <r>
    <s v="TX500948"/>
    <x v="3"/>
    <x v="2"/>
    <n v="76.5"/>
    <n v="229.5"/>
    <x v="37"/>
    <d v="2025-02-08T00:00:00"/>
    <s v="F"/>
    <x v="0"/>
    <x v="1"/>
    <x v="0"/>
    <x v="21"/>
    <n v="1"/>
    <x v="5"/>
    <x v="2"/>
  </r>
  <r>
    <s v="TX500949"/>
    <x v="9"/>
    <x v="2"/>
    <n v="42.6"/>
    <n v="127.80000000000001"/>
    <x v="37"/>
    <d v="2025-02-13T00:00:00"/>
    <s v="F"/>
    <x v="2"/>
    <x v="2"/>
    <x v="0"/>
    <x v="2"/>
    <n v="6"/>
    <x v="5"/>
    <x v="2"/>
  </r>
  <r>
    <s v="TX500950"/>
    <x v="6"/>
    <x v="2"/>
    <n v="44.1"/>
    <n v="132.30000000000001"/>
    <x v="37"/>
    <d v="2025-02-09T00:00:00"/>
    <s v="F"/>
    <x v="1"/>
    <x v="1"/>
    <x v="0"/>
    <x v="22"/>
    <n v="2"/>
    <x v="5"/>
    <x v="2"/>
  </r>
  <r>
    <s v="TX500951"/>
    <x v="8"/>
    <x v="1"/>
    <n v="40.9"/>
    <n v="81.8"/>
    <x v="37"/>
    <d v="2025-02-11T00:00:00"/>
    <s v="M"/>
    <x v="0"/>
    <x v="0"/>
    <x v="0"/>
    <x v="3"/>
    <n v="4"/>
    <x v="5"/>
    <x v="1"/>
  </r>
  <r>
    <s v="TX500952"/>
    <x v="9"/>
    <x v="2"/>
    <n v="49.1"/>
    <n v="147.30000000000001"/>
    <x v="37"/>
    <d v="2025-02-11T00:00:00"/>
    <s v="F"/>
    <x v="3"/>
    <x v="1"/>
    <x v="0"/>
    <x v="3"/>
    <n v="4"/>
    <x v="5"/>
    <x v="2"/>
  </r>
  <r>
    <s v="TX500953"/>
    <x v="18"/>
    <x v="0"/>
    <n v="85.3"/>
    <n v="85.3"/>
    <x v="37"/>
    <d v="2025-02-11T00:00:00"/>
    <s v="M"/>
    <x v="1"/>
    <x v="1"/>
    <x v="0"/>
    <x v="3"/>
    <n v="4"/>
    <x v="5"/>
    <x v="1"/>
  </r>
  <r>
    <s v="TX500954"/>
    <x v="6"/>
    <x v="12"/>
    <n v="43.1"/>
    <n v="172.4"/>
    <x v="38"/>
    <d v="2025-02-11T00:00:00"/>
    <s v="M"/>
    <x v="0"/>
    <x v="0"/>
    <x v="0"/>
    <x v="3"/>
    <n v="3"/>
    <x v="5"/>
    <x v="1"/>
  </r>
  <r>
    <s v="TX500955"/>
    <x v="4"/>
    <x v="12"/>
    <n v="46.2"/>
    <n v="184.8"/>
    <x v="38"/>
    <d v="2025-02-09T00:00:00"/>
    <s v="M"/>
    <x v="2"/>
    <x v="0"/>
    <x v="0"/>
    <x v="3"/>
    <n v="1"/>
    <x v="5"/>
    <x v="1"/>
  </r>
  <r>
    <s v="TX500956"/>
    <x v="1"/>
    <x v="0"/>
    <n v="74.400000000000006"/>
    <n v="74.400000000000006"/>
    <x v="38"/>
    <d v="2025-02-10T00:00:00"/>
    <s v="M"/>
    <x v="4"/>
    <x v="2"/>
    <x v="0"/>
    <x v="3"/>
    <n v="2"/>
    <x v="5"/>
    <x v="1"/>
  </r>
  <r>
    <s v="TX500957"/>
    <x v="17"/>
    <x v="1"/>
    <n v="51.2"/>
    <n v="102.4"/>
    <x v="38"/>
    <d v="2025-02-09T00:00:00"/>
    <s v="M"/>
    <x v="1"/>
    <x v="0"/>
    <x v="0"/>
    <x v="3"/>
    <n v="1"/>
    <x v="5"/>
    <x v="1"/>
  </r>
  <r>
    <s v="TX500958"/>
    <x v="14"/>
    <x v="12"/>
    <n v="11.8"/>
    <n v="47.2"/>
    <x v="38"/>
    <d v="2025-02-08T00:00:00"/>
    <s v="M"/>
    <x v="2"/>
    <x v="0"/>
    <x v="0"/>
    <x v="3"/>
    <n v="0"/>
    <x v="5"/>
    <x v="1"/>
  </r>
  <r>
    <s v="TX500959"/>
    <x v="10"/>
    <x v="6"/>
    <n v="40.799999999999997"/>
    <n v="1101.5999999999999"/>
    <x v="38"/>
    <d v="2025-02-09T00:00:00"/>
    <s v="F"/>
    <x v="3"/>
    <x v="2"/>
    <x v="0"/>
    <x v="3"/>
    <n v="1"/>
    <x v="5"/>
    <x v="2"/>
  </r>
  <r>
    <s v="TX500960"/>
    <x v="8"/>
    <x v="0"/>
    <n v="24.7"/>
    <n v="24.7"/>
    <x v="38"/>
    <d v="2025-02-10T00:00:00"/>
    <s v="F"/>
    <x v="2"/>
    <x v="1"/>
    <x v="0"/>
    <x v="3"/>
    <n v="2"/>
    <x v="5"/>
    <x v="2"/>
  </r>
  <r>
    <s v="TX500961"/>
    <x v="8"/>
    <x v="3"/>
    <n v="22.1"/>
    <n v="154.70000000000002"/>
    <x v="38"/>
    <d v="2025-02-08T00:00:00"/>
    <s v="F"/>
    <x v="2"/>
    <x v="4"/>
    <x v="0"/>
    <x v="3"/>
    <n v="0"/>
    <x v="5"/>
    <x v="2"/>
  </r>
  <r>
    <s v="TX500962"/>
    <x v="8"/>
    <x v="0"/>
    <n v="18.100000000000001"/>
    <n v="18.100000000000001"/>
    <x v="38"/>
    <d v="2025-02-12T00:00:00"/>
    <s v="M"/>
    <x v="3"/>
    <x v="2"/>
    <x v="0"/>
    <x v="3"/>
    <n v="4"/>
    <x v="5"/>
    <x v="1"/>
  </r>
  <r>
    <s v="TX500963"/>
    <x v="17"/>
    <x v="1"/>
    <n v="58.8"/>
    <n v="117.6"/>
    <x v="38"/>
    <d v="2025-02-11T00:00:00"/>
    <s v="F"/>
    <x v="0"/>
    <x v="0"/>
    <x v="0"/>
    <x v="25"/>
    <n v="3"/>
    <x v="5"/>
    <x v="2"/>
  </r>
  <r>
    <s v="TX500964"/>
    <x v="18"/>
    <x v="1"/>
    <n v="30.8"/>
    <n v="61.6"/>
    <x v="38"/>
    <d v="2025-02-09T00:00:00"/>
    <s v="F"/>
    <x v="0"/>
    <x v="0"/>
    <x v="0"/>
    <x v="6"/>
    <n v="1"/>
    <x v="5"/>
    <x v="2"/>
  </r>
  <r>
    <s v="TX500965"/>
    <x v="0"/>
    <x v="1"/>
    <n v="12"/>
    <n v="24"/>
    <x v="38"/>
    <d v="2025-02-12T00:00:00"/>
    <s v="F"/>
    <x v="0"/>
    <x v="0"/>
    <x v="0"/>
    <x v="6"/>
    <n v="4"/>
    <x v="5"/>
    <x v="2"/>
  </r>
  <r>
    <s v="TX500966"/>
    <x v="0"/>
    <x v="12"/>
    <n v="13.6"/>
    <n v="54.4"/>
    <x v="38"/>
    <d v="2025-02-11T00:00:00"/>
    <s v="M"/>
    <x v="2"/>
    <x v="0"/>
    <x v="0"/>
    <x v="6"/>
    <n v="3"/>
    <x v="5"/>
    <x v="1"/>
  </r>
  <r>
    <s v="TX500967"/>
    <x v="0"/>
    <x v="0"/>
    <n v="17.899999999999999"/>
    <n v="17.899999999999999"/>
    <x v="38"/>
    <d v="2025-02-09T00:00:00"/>
    <s v="M"/>
    <x v="3"/>
    <x v="0"/>
    <x v="0"/>
    <x v="6"/>
    <n v="1"/>
    <x v="5"/>
    <x v="1"/>
  </r>
  <r>
    <s v="TX500968"/>
    <x v="9"/>
    <x v="1"/>
    <n v="38.6"/>
    <n v="77.2"/>
    <x v="38"/>
    <d v="2025-02-12T00:00:00"/>
    <s v="F"/>
    <x v="4"/>
    <x v="0"/>
    <x v="0"/>
    <x v="7"/>
    <n v="4"/>
    <x v="5"/>
    <x v="2"/>
  </r>
  <r>
    <s v="TX500969"/>
    <x v="5"/>
    <x v="9"/>
    <n v="32.700000000000003"/>
    <n v="163.5"/>
    <x v="38"/>
    <d v="2025-02-09T00:00:00"/>
    <s v="M"/>
    <x v="2"/>
    <x v="2"/>
    <x v="0"/>
    <x v="8"/>
    <n v="1"/>
    <x v="5"/>
    <x v="1"/>
  </r>
  <r>
    <s v="TX500970"/>
    <x v="3"/>
    <x v="1"/>
    <n v="111.4"/>
    <n v="222.8"/>
    <x v="38"/>
    <d v="2025-02-09T00:00:00"/>
    <s v="F"/>
    <x v="1"/>
    <x v="0"/>
    <x v="0"/>
    <x v="8"/>
    <n v="1"/>
    <x v="5"/>
    <x v="2"/>
  </r>
  <r>
    <s v="TX500971"/>
    <x v="2"/>
    <x v="13"/>
    <n v="80.3"/>
    <n v="481.79999999999995"/>
    <x v="38"/>
    <d v="2025-02-10T00:00:00"/>
    <s v="F"/>
    <x v="1"/>
    <x v="0"/>
    <x v="0"/>
    <x v="8"/>
    <n v="2"/>
    <x v="5"/>
    <x v="2"/>
  </r>
  <r>
    <s v="TX500972"/>
    <x v="6"/>
    <x v="1"/>
    <n v="58.9"/>
    <n v="117.8"/>
    <x v="38"/>
    <d v="2025-02-09T00:00:00"/>
    <s v="M"/>
    <x v="1"/>
    <x v="0"/>
    <x v="0"/>
    <x v="8"/>
    <n v="1"/>
    <x v="5"/>
    <x v="1"/>
  </r>
  <r>
    <s v="TX500973"/>
    <x v="6"/>
    <x v="2"/>
    <n v="51.9"/>
    <n v="155.69999999999999"/>
    <x v="38"/>
    <d v="2025-02-10T00:00:00"/>
    <s v="F"/>
    <x v="1"/>
    <x v="4"/>
    <x v="0"/>
    <x v="8"/>
    <n v="2"/>
    <x v="5"/>
    <x v="2"/>
  </r>
  <r>
    <s v="TX500974"/>
    <x v="2"/>
    <x v="2"/>
    <n v="50.3"/>
    <n v="150.89999999999998"/>
    <x v="38"/>
    <d v="2025-02-09T00:00:00"/>
    <s v="M"/>
    <x v="2"/>
    <x v="0"/>
    <x v="0"/>
    <x v="17"/>
    <n v="1"/>
    <x v="5"/>
    <x v="1"/>
  </r>
  <r>
    <s v="TX500975"/>
    <x v="11"/>
    <x v="13"/>
    <n v="45"/>
    <n v="270"/>
    <x v="38"/>
    <d v="2025-02-14T00:00:00"/>
    <s v="F"/>
    <x v="3"/>
    <x v="0"/>
    <x v="0"/>
    <x v="9"/>
    <n v="6"/>
    <x v="5"/>
    <x v="2"/>
  </r>
  <r>
    <s v="TX500976"/>
    <x v="10"/>
    <x v="13"/>
    <n v="44.7"/>
    <n v="268.20000000000005"/>
    <x v="38"/>
    <d v="2025-02-10T00:00:00"/>
    <s v="F"/>
    <x v="2"/>
    <x v="0"/>
    <x v="0"/>
    <x v="11"/>
    <n v="2"/>
    <x v="5"/>
    <x v="2"/>
  </r>
  <r>
    <s v="TX500977"/>
    <x v="18"/>
    <x v="20"/>
    <n v="33"/>
    <n v="495"/>
    <x v="38"/>
    <d v="2025-02-09T00:00:00"/>
    <s v="F"/>
    <x v="2"/>
    <x v="0"/>
    <x v="0"/>
    <x v="11"/>
    <n v="1"/>
    <x v="5"/>
    <x v="2"/>
  </r>
  <r>
    <s v="TX500978"/>
    <x v="1"/>
    <x v="9"/>
    <n v="44.9"/>
    <n v="224.5"/>
    <x v="38"/>
    <d v="2025-02-11T00:00:00"/>
    <s v="F"/>
    <x v="2"/>
    <x v="2"/>
    <x v="0"/>
    <x v="18"/>
    <n v="3"/>
    <x v="5"/>
    <x v="2"/>
  </r>
  <r>
    <s v="TX500979"/>
    <x v="10"/>
    <x v="1"/>
    <n v="34.6"/>
    <n v="69.2"/>
    <x v="38"/>
    <d v="2025-02-12T00:00:00"/>
    <s v="F"/>
    <x v="0"/>
    <x v="1"/>
    <x v="0"/>
    <x v="19"/>
    <n v="4"/>
    <x v="5"/>
    <x v="2"/>
  </r>
  <r>
    <s v="TX500980"/>
    <x v="7"/>
    <x v="3"/>
    <n v="47.1"/>
    <n v="329.7"/>
    <x v="38"/>
    <d v="2025-02-13T00:00:00"/>
    <s v="F"/>
    <x v="0"/>
    <x v="0"/>
    <x v="0"/>
    <x v="13"/>
    <n v="5"/>
    <x v="5"/>
    <x v="2"/>
  </r>
  <r>
    <s v="TX500981"/>
    <x v="4"/>
    <x v="9"/>
    <n v="26.1"/>
    <n v="130.5"/>
    <x v="38"/>
    <d v="2025-02-13T00:00:00"/>
    <s v="M"/>
    <x v="0"/>
    <x v="2"/>
    <x v="0"/>
    <x v="21"/>
    <n v="5"/>
    <x v="5"/>
    <x v="1"/>
  </r>
  <r>
    <s v="TX500982"/>
    <x v="12"/>
    <x v="9"/>
    <n v="66.8"/>
    <n v="334"/>
    <x v="38"/>
    <d v="2025-02-11T00:00:00"/>
    <s v="F"/>
    <x v="0"/>
    <x v="0"/>
    <x v="0"/>
    <x v="21"/>
    <n v="3"/>
    <x v="5"/>
    <x v="2"/>
  </r>
  <r>
    <s v="TX500983"/>
    <x v="2"/>
    <x v="1"/>
    <n v="167.9"/>
    <n v="335.8"/>
    <x v="38"/>
    <d v="2025-02-09T00:00:00"/>
    <s v="F"/>
    <x v="3"/>
    <x v="2"/>
    <x v="0"/>
    <x v="21"/>
    <n v="1"/>
    <x v="5"/>
    <x v="2"/>
  </r>
  <r>
    <s v="TX500984"/>
    <x v="10"/>
    <x v="11"/>
    <n v="34.6"/>
    <n v="311.40000000000003"/>
    <x v="38"/>
    <d v="2025-02-09T00:00:00"/>
    <s v="F"/>
    <x v="2"/>
    <x v="1"/>
    <x v="0"/>
    <x v="21"/>
    <n v="1"/>
    <x v="5"/>
    <x v="2"/>
  </r>
  <r>
    <s v="TX500985"/>
    <x v="8"/>
    <x v="2"/>
    <n v="35.1"/>
    <n v="105.30000000000001"/>
    <x v="39"/>
    <d v="2025-02-13T00:00:00"/>
    <s v="M"/>
    <x v="4"/>
    <x v="2"/>
    <x v="0"/>
    <x v="1"/>
    <n v="4"/>
    <x v="6"/>
    <x v="1"/>
  </r>
  <r>
    <s v="TX500986"/>
    <x v="6"/>
    <x v="12"/>
    <n v="104.5"/>
    <n v="418"/>
    <x v="39"/>
    <d v="2025-02-10T00:00:00"/>
    <s v="M"/>
    <x v="1"/>
    <x v="1"/>
    <x v="0"/>
    <x v="1"/>
    <n v="1"/>
    <x v="6"/>
    <x v="1"/>
  </r>
  <r>
    <s v="TX500987"/>
    <x v="8"/>
    <x v="0"/>
    <n v="37.9"/>
    <n v="37.9"/>
    <x v="39"/>
    <d v="2025-02-11T00:00:00"/>
    <s v=""/>
    <x v="1"/>
    <x v="2"/>
    <x v="0"/>
    <x v="2"/>
    <n v="2"/>
    <x v="6"/>
    <x v="0"/>
  </r>
  <r>
    <s v="TX500988"/>
    <x v="4"/>
    <x v="2"/>
    <n v="25.5"/>
    <n v="76.5"/>
    <x v="39"/>
    <d v="2025-02-12T00:00:00"/>
    <s v="M"/>
    <x v="3"/>
    <x v="0"/>
    <x v="0"/>
    <x v="2"/>
    <n v="3"/>
    <x v="6"/>
    <x v="1"/>
  </r>
  <r>
    <s v="TX500989"/>
    <x v="0"/>
    <x v="2"/>
    <n v="32"/>
    <n v="96"/>
    <x v="39"/>
    <d v="2025-02-13T00:00:00"/>
    <s v="F"/>
    <x v="1"/>
    <x v="0"/>
    <x v="0"/>
    <x v="22"/>
    <n v="4"/>
    <x v="6"/>
    <x v="2"/>
  </r>
  <r>
    <s v="TX500990"/>
    <x v="1"/>
    <x v="0"/>
    <n v="47.1"/>
    <n v="47.1"/>
    <x v="39"/>
    <d v="2025-02-10T00:00:00"/>
    <s v="F"/>
    <x v="0"/>
    <x v="0"/>
    <x v="0"/>
    <x v="34"/>
    <n v="1"/>
    <x v="6"/>
    <x v="2"/>
  </r>
  <r>
    <s v="TX500991"/>
    <x v="6"/>
    <x v="1"/>
    <n v="50.6"/>
    <n v="101.2"/>
    <x v="39"/>
    <d v="2025-02-15T00:00:00"/>
    <s v=""/>
    <x v="0"/>
    <x v="0"/>
    <x v="0"/>
    <x v="3"/>
    <n v="6"/>
    <x v="6"/>
    <x v="0"/>
  </r>
  <r>
    <s v="TX500992"/>
    <x v="6"/>
    <x v="9"/>
    <n v="81.7"/>
    <n v="408.5"/>
    <x v="39"/>
    <d v="2025-02-10T00:00:00"/>
    <s v="F"/>
    <x v="1"/>
    <x v="2"/>
    <x v="0"/>
    <x v="3"/>
    <n v="1"/>
    <x v="6"/>
    <x v="2"/>
  </r>
  <r>
    <s v="TX500993"/>
    <x v="5"/>
    <x v="1"/>
    <n v="50.7"/>
    <n v="101.4"/>
    <x v="39"/>
    <d v="2025-02-10T00:00:00"/>
    <s v="O"/>
    <x v="2"/>
    <x v="2"/>
    <x v="0"/>
    <x v="3"/>
    <n v="1"/>
    <x v="6"/>
    <x v="3"/>
  </r>
  <r>
    <s v="TX500994"/>
    <x v="2"/>
    <x v="10"/>
    <n v="67.3"/>
    <n v="1278.7"/>
    <x v="39"/>
    <d v="2025-02-13T00:00:00"/>
    <s v="F"/>
    <x v="2"/>
    <x v="0"/>
    <x v="0"/>
    <x v="3"/>
    <n v="4"/>
    <x v="6"/>
    <x v="2"/>
  </r>
  <r>
    <s v="TX500995"/>
    <x v="2"/>
    <x v="12"/>
    <n v="64.8"/>
    <n v="259.2"/>
    <x v="39"/>
    <d v="2025-02-12T00:00:00"/>
    <s v="F"/>
    <x v="3"/>
    <x v="0"/>
    <x v="0"/>
    <x v="3"/>
    <n v="3"/>
    <x v="6"/>
    <x v="2"/>
  </r>
  <r>
    <s v="TX500996"/>
    <x v="5"/>
    <x v="32"/>
    <n v="61.3"/>
    <n v="1348.6"/>
    <x v="39"/>
    <d v="2025-02-10T00:00:00"/>
    <s v="F"/>
    <x v="0"/>
    <x v="2"/>
    <x v="0"/>
    <x v="3"/>
    <n v="1"/>
    <x v="6"/>
    <x v="2"/>
  </r>
  <r>
    <s v="TX500997"/>
    <x v="14"/>
    <x v="0"/>
    <n v="32.9"/>
    <n v="32.9"/>
    <x v="39"/>
    <d v="2025-02-12T00:00:00"/>
    <s v="F"/>
    <x v="4"/>
    <x v="0"/>
    <x v="0"/>
    <x v="3"/>
    <n v="3"/>
    <x v="6"/>
    <x v="2"/>
  </r>
  <r>
    <s v="TX500998"/>
    <x v="6"/>
    <x v="1"/>
    <n v="100.8"/>
    <n v="201.6"/>
    <x v="39"/>
    <d v="2025-02-12T00:00:00"/>
    <s v="F"/>
    <x v="0"/>
    <x v="0"/>
    <x v="0"/>
    <x v="3"/>
    <n v="3"/>
    <x v="6"/>
    <x v="2"/>
  </r>
  <r>
    <s v="TX500999"/>
    <x v="8"/>
    <x v="12"/>
    <n v="25.1"/>
    <n v="100.4"/>
    <x v="39"/>
    <d v="2025-02-11T00:00:00"/>
    <s v="F"/>
    <x v="1"/>
    <x v="0"/>
    <x v="0"/>
    <x v="3"/>
    <n v="2"/>
    <x v="6"/>
    <x v="2"/>
  </r>
  <r>
    <s v="TX501000"/>
    <x v="17"/>
    <x v="0"/>
    <n v="48.5"/>
    <n v="48.5"/>
    <x v="39"/>
    <d v="2025-02-10T00:00:00"/>
    <s v="F"/>
    <x v="0"/>
    <x v="1"/>
    <x v="0"/>
    <x v="3"/>
    <n v="1"/>
    <x v="6"/>
    <x v="2"/>
  </r>
  <r>
    <s v="TX501001"/>
    <x v="7"/>
    <x v="1"/>
    <n v="33.6"/>
    <n v="67.2"/>
    <x v="39"/>
    <d v="2025-02-13T00:00:00"/>
    <s v="F"/>
    <x v="2"/>
    <x v="2"/>
    <x v="0"/>
    <x v="3"/>
    <n v="4"/>
    <x v="6"/>
    <x v="2"/>
  </r>
  <r>
    <s v="TX501002"/>
    <x v="8"/>
    <x v="0"/>
    <n v="39.299999999999997"/>
    <n v="39.299999999999997"/>
    <x v="39"/>
    <d v="2025-02-20T00:00:00"/>
    <s v="F"/>
    <x v="1"/>
    <x v="1"/>
    <x v="0"/>
    <x v="49"/>
    <n v="11"/>
    <x v="6"/>
    <x v="2"/>
  </r>
  <r>
    <s v="TX501003"/>
    <x v="4"/>
    <x v="7"/>
    <n v="48.8"/>
    <n v="488"/>
    <x v="39"/>
    <d v="2025-02-11T00:00:00"/>
    <s v="F"/>
    <x v="3"/>
    <x v="1"/>
    <x v="0"/>
    <x v="25"/>
    <n v="2"/>
    <x v="6"/>
    <x v="2"/>
  </r>
  <r>
    <s v="TX501004"/>
    <x v="6"/>
    <x v="8"/>
    <n v="72.8"/>
    <n v="582.4"/>
    <x v="39"/>
    <d v="2025-02-11T00:00:00"/>
    <s v="M"/>
    <x v="1"/>
    <x v="2"/>
    <x v="0"/>
    <x v="5"/>
    <n v="2"/>
    <x v="6"/>
    <x v="1"/>
  </r>
  <r>
    <s v="TX501005"/>
    <x v="10"/>
    <x v="8"/>
    <n v="46.2"/>
    <n v="369.6"/>
    <x v="39"/>
    <d v="2025-02-10T00:00:00"/>
    <s v="M"/>
    <x v="3"/>
    <x v="4"/>
    <x v="0"/>
    <x v="5"/>
    <n v="1"/>
    <x v="6"/>
    <x v="1"/>
  </r>
  <r>
    <s v="TX501006"/>
    <x v="4"/>
    <x v="1"/>
    <n v="20.7"/>
    <n v="41.4"/>
    <x v="39"/>
    <d v="2025-02-10T00:00:00"/>
    <s v="F"/>
    <x v="2"/>
    <x v="3"/>
    <x v="0"/>
    <x v="6"/>
    <n v="1"/>
    <x v="6"/>
    <x v="2"/>
  </r>
  <r>
    <s v="TX501007"/>
    <x v="0"/>
    <x v="0"/>
    <n v="35.700000000000003"/>
    <n v="35.700000000000003"/>
    <x v="39"/>
    <d v="2025-02-11T00:00:00"/>
    <s v="F"/>
    <x v="3"/>
    <x v="0"/>
    <x v="0"/>
    <x v="6"/>
    <n v="2"/>
    <x v="6"/>
    <x v="2"/>
  </r>
  <r>
    <s v="TX501008"/>
    <x v="2"/>
    <x v="27"/>
    <n v="166.2"/>
    <n v="2659.2"/>
    <x v="39"/>
    <d v="2025-02-11T00:00:00"/>
    <s v=""/>
    <x v="2"/>
    <x v="0"/>
    <x v="0"/>
    <x v="7"/>
    <n v="2"/>
    <x v="6"/>
    <x v="0"/>
  </r>
  <r>
    <s v="TX501009"/>
    <x v="6"/>
    <x v="12"/>
    <n v="85.8"/>
    <n v="343.2"/>
    <x v="39"/>
    <d v="2025-02-10T00:00:00"/>
    <s v="F"/>
    <x v="1"/>
    <x v="1"/>
    <x v="0"/>
    <x v="7"/>
    <n v="1"/>
    <x v="6"/>
    <x v="2"/>
  </r>
  <r>
    <s v="TX501010"/>
    <x v="8"/>
    <x v="2"/>
    <n v="26"/>
    <n v="78"/>
    <x v="39"/>
    <d v="2025-02-11T00:00:00"/>
    <s v="O"/>
    <x v="1"/>
    <x v="0"/>
    <x v="0"/>
    <x v="7"/>
    <n v="2"/>
    <x v="6"/>
    <x v="3"/>
  </r>
  <r>
    <s v="TX501011"/>
    <x v="2"/>
    <x v="15"/>
    <n v="116.6"/>
    <n v="1515.8"/>
    <x v="39"/>
    <d v="2025-02-12T00:00:00"/>
    <s v="F"/>
    <x v="0"/>
    <x v="0"/>
    <x v="0"/>
    <x v="8"/>
    <n v="3"/>
    <x v="6"/>
    <x v="2"/>
  </r>
  <r>
    <s v="TX501012"/>
    <x v="9"/>
    <x v="3"/>
    <n v="53.9"/>
    <n v="377.3"/>
    <x v="39"/>
    <d v="2025-02-12T00:00:00"/>
    <s v="O"/>
    <x v="0"/>
    <x v="2"/>
    <x v="0"/>
    <x v="8"/>
    <n v="3"/>
    <x v="6"/>
    <x v="3"/>
  </r>
  <r>
    <s v="TX501013"/>
    <x v="12"/>
    <x v="9"/>
    <n v="72.3"/>
    <n v="361.5"/>
    <x v="39"/>
    <d v="2025-02-11T00:00:00"/>
    <s v=""/>
    <x v="2"/>
    <x v="2"/>
    <x v="0"/>
    <x v="8"/>
    <n v="2"/>
    <x v="6"/>
    <x v="0"/>
  </r>
  <r>
    <s v="TX501014"/>
    <x v="5"/>
    <x v="1"/>
    <n v="31.4"/>
    <n v="62.8"/>
    <x v="39"/>
    <d v="2025-02-11T00:00:00"/>
    <s v="F"/>
    <x v="0"/>
    <x v="0"/>
    <x v="0"/>
    <x v="8"/>
    <n v="2"/>
    <x v="6"/>
    <x v="2"/>
  </r>
  <r>
    <s v="TX501015"/>
    <x v="13"/>
    <x v="1"/>
    <n v="53.1"/>
    <n v="106.2"/>
    <x v="39"/>
    <d v="2025-02-12T00:00:00"/>
    <s v="M"/>
    <x v="1"/>
    <x v="0"/>
    <x v="0"/>
    <x v="8"/>
    <n v="3"/>
    <x v="6"/>
    <x v="1"/>
  </r>
  <r>
    <s v="TX501016"/>
    <x v="2"/>
    <x v="12"/>
    <n v="56.2"/>
    <n v="224.8"/>
    <x v="39"/>
    <d v="2025-02-10T00:00:00"/>
    <s v="F"/>
    <x v="0"/>
    <x v="0"/>
    <x v="0"/>
    <x v="8"/>
    <n v="1"/>
    <x v="6"/>
    <x v="2"/>
  </r>
  <r>
    <s v="TX501017"/>
    <x v="1"/>
    <x v="7"/>
    <n v="77.3"/>
    <n v="773"/>
    <x v="39"/>
    <d v="2025-02-10T00:00:00"/>
    <s v="F"/>
    <x v="2"/>
    <x v="0"/>
    <x v="0"/>
    <x v="11"/>
    <n v="1"/>
    <x v="6"/>
    <x v="2"/>
  </r>
  <r>
    <s v="TX501018"/>
    <x v="6"/>
    <x v="15"/>
    <n v="57.8"/>
    <n v="751.4"/>
    <x v="39"/>
    <d v="2025-02-10T00:00:00"/>
    <s v=""/>
    <x v="0"/>
    <x v="0"/>
    <x v="0"/>
    <x v="53"/>
    <n v="1"/>
    <x v="6"/>
    <x v="0"/>
  </r>
  <r>
    <s v="TX501019"/>
    <x v="12"/>
    <x v="20"/>
    <n v="42.1"/>
    <n v="631.5"/>
    <x v="39"/>
    <d v="2025-02-11T00:00:00"/>
    <s v="F"/>
    <x v="1"/>
    <x v="1"/>
    <x v="0"/>
    <x v="53"/>
    <n v="2"/>
    <x v="6"/>
    <x v="2"/>
  </r>
  <r>
    <s v="TX501020"/>
    <x v="8"/>
    <x v="11"/>
    <n v="22.8"/>
    <n v="205.20000000000002"/>
    <x v="39"/>
    <d v="2025-02-13T00:00:00"/>
    <s v="M"/>
    <x v="2"/>
    <x v="2"/>
    <x v="0"/>
    <x v="19"/>
    <n v="4"/>
    <x v="6"/>
    <x v="1"/>
  </r>
  <r>
    <s v="TX501021"/>
    <x v="2"/>
    <x v="2"/>
    <n v="171.1"/>
    <n v="513.29999999999995"/>
    <x v="40"/>
    <d v="2025-02-17T00:00:00"/>
    <s v="F"/>
    <x v="2"/>
    <x v="1"/>
    <x v="0"/>
    <x v="19"/>
    <n v="7"/>
    <x v="6"/>
    <x v="2"/>
  </r>
  <r>
    <s v="TX501022"/>
    <x v="8"/>
    <x v="0"/>
    <n v="28"/>
    <n v="28"/>
    <x v="40"/>
    <d v="2025-02-12T00:00:00"/>
    <s v="M"/>
    <x v="2"/>
    <x v="2"/>
    <x v="0"/>
    <x v="21"/>
    <n v="2"/>
    <x v="6"/>
    <x v="1"/>
  </r>
  <r>
    <s v="TX501023"/>
    <x v="6"/>
    <x v="3"/>
    <n v="50.2"/>
    <n v="351.40000000000003"/>
    <x v="40"/>
    <d v="2025-02-12T00:00:00"/>
    <s v="M"/>
    <x v="2"/>
    <x v="0"/>
    <x v="0"/>
    <x v="21"/>
    <n v="2"/>
    <x v="6"/>
    <x v="1"/>
  </r>
  <r>
    <s v="TX501024"/>
    <x v="6"/>
    <x v="1"/>
    <n v="56"/>
    <n v="112"/>
    <x v="40"/>
    <d v="2025-02-10T00:00:00"/>
    <s v="M"/>
    <x v="0"/>
    <x v="2"/>
    <x v="0"/>
    <x v="22"/>
    <n v="0"/>
    <x v="6"/>
    <x v="1"/>
  </r>
  <r>
    <s v="TX501025"/>
    <x v="1"/>
    <x v="1"/>
    <n v="38.299999999999997"/>
    <n v="76.599999999999994"/>
    <x v="40"/>
    <d v="2025-02-11T00:00:00"/>
    <s v="F"/>
    <x v="1"/>
    <x v="0"/>
    <x v="0"/>
    <x v="3"/>
    <n v="1"/>
    <x v="6"/>
    <x v="2"/>
  </r>
  <r>
    <s v="TX501026"/>
    <x v="0"/>
    <x v="9"/>
    <n v="22.3"/>
    <n v="111.5"/>
    <x v="40"/>
    <d v="2025-02-14T00:00:00"/>
    <s v="F"/>
    <x v="2"/>
    <x v="1"/>
    <x v="0"/>
    <x v="3"/>
    <n v="4"/>
    <x v="6"/>
    <x v="2"/>
  </r>
  <r>
    <s v="TX501027"/>
    <x v="0"/>
    <x v="2"/>
    <n v="22.3"/>
    <n v="66.900000000000006"/>
    <x v="40"/>
    <d v="2025-02-13T00:00:00"/>
    <s v="F"/>
    <x v="2"/>
    <x v="0"/>
    <x v="0"/>
    <x v="3"/>
    <n v="3"/>
    <x v="6"/>
    <x v="2"/>
  </r>
  <r>
    <s v="TX501028"/>
    <x v="1"/>
    <x v="0"/>
    <n v="32.9"/>
    <n v="32.9"/>
    <x v="40"/>
    <d v="2025-02-15T00:00:00"/>
    <s v="F"/>
    <x v="0"/>
    <x v="0"/>
    <x v="0"/>
    <x v="3"/>
    <n v="5"/>
    <x v="6"/>
    <x v="2"/>
  </r>
  <r>
    <s v="TX501029"/>
    <x v="10"/>
    <x v="2"/>
    <n v="31.9"/>
    <n v="95.699999999999989"/>
    <x v="40"/>
    <d v="2025-02-15T00:00:00"/>
    <s v="F"/>
    <x v="0"/>
    <x v="0"/>
    <x v="0"/>
    <x v="3"/>
    <n v="5"/>
    <x v="6"/>
    <x v="2"/>
  </r>
  <r>
    <s v="TX501030"/>
    <x v="6"/>
    <x v="1"/>
    <n v="94"/>
    <n v="188"/>
    <x v="40"/>
    <d v="2025-02-11T00:00:00"/>
    <s v="M"/>
    <x v="2"/>
    <x v="2"/>
    <x v="0"/>
    <x v="3"/>
    <n v="1"/>
    <x v="6"/>
    <x v="1"/>
  </r>
  <r>
    <s v="TX501031"/>
    <x v="10"/>
    <x v="1"/>
    <n v="30.7"/>
    <n v="61.4"/>
    <x v="40"/>
    <d v="2025-02-11T00:00:00"/>
    <s v="F"/>
    <x v="0"/>
    <x v="1"/>
    <x v="0"/>
    <x v="3"/>
    <n v="1"/>
    <x v="6"/>
    <x v="2"/>
  </r>
  <r>
    <s v="TX501032"/>
    <x v="5"/>
    <x v="9"/>
    <n v="90.5"/>
    <n v="452.5"/>
    <x v="40"/>
    <d v="2025-02-17T00:00:00"/>
    <s v="M"/>
    <x v="0"/>
    <x v="2"/>
    <x v="0"/>
    <x v="3"/>
    <n v="7"/>
    <x v="6"/>
    <x v="1"/>
  </r>
  <r>
    <s v="TX501033"/>
    <x v="8"/>
    <x v="9"/>
    <n v="25.3"/>
    <n v="126.5"/>
    <x v="40"/>
    <d v="2025-02-14T00:00:00"/>
    <s v="F"/>
    <x v="0"/>
    <x v="2"/>
    <x v="0"/>
    <x v="3"/>
    <n v="4"/>
    <x v="6"/>
    <x v="2"/>
  </r>
  <r>
    <s v="TX501034"/>
    <x v="6"/>
    <x v="2"/>
    <n v="58.1"/>
    <n v="174.3"/>
    <x v="40"/>
    <d v="2025-02-14T00:00:00"/>
    <s v=""/>
    <x v="0"/>
    <x v="2"/>
    <x v="0"/>
    <x v="3"/>
    <n v="4"/>
    <x v="6"/>
    <x v="0"/>
  </r>
  <r>
    <s v="TX501035"/>
    <x v="2"/>
    <x v="2"/>
    <n v="74.900000000000006"/>
    <n v="224.70000000000002"/>
    <x v="40"/>
    <d v="2025-02-11T00:00:00"/>
    <s v="F"/>
    <x v="4"/>
    <x v="0"/>
    <x v="0"/>
    <x v="3"/>
    <n v="1"/>
    <x v="6"/>
    <x v="2"/>
  </r>
  <r>
    <s v="TX501036"/>
    <x v="4"/>
    <x v="1"/>
    <n v="32.5"/>
    <n v="65"/>
    <x v="40"/>
    <d v="2025-02-11T00:00:00"/>
    <s v="M"/>
    <x v="2"/>
    <x v="2"/>
    <x v="0"/>
    <x v="43"/>
    <n v="1"/>
    <x v="6"/>
    <x v="1"/>
  </r>
  <r>
    <s v="TX501037"/>
    <x v="4"/>
    <x v="9"/>
    <n v="62"/>
    <n v="310"/>
    <x v="40"/>
    <d v="2025-02-11T00:00:00"/>
    <s v="M"/>
    <x v="4"/>
    <x v="2"/>
    <x v="0"/>
    <x v="25"/>
    <n v="1"/>
    <x v="6"/>
    <x v="1"/>
  </r>
  <r>
    <s v="TX501038"/>
    <x v="13"/>
    <x v="13"/>
    <n v="28.9"/>
    <n v="173.39999999999998"/>
    <x v="40"/>
    <d v="2025-02-13T00:00:00"/>
    <s v="F"/>
    <x v="0"/>
    <x v="1"/>
    <x v="0"/>
    <x v="6"/>
    <n v="3"/>
    <x v="6"/>
    <x v="2"/>
  </r>
  <r>
    <s v="TX501039"/>
    <x v="6"/>
    <x v="8"/>
    <n v="42.8"/>
    <n v="342.4"/>
    <x v="40"/>
    <d v="2025-02-12T00:00:00"/>
    <s v="F"/>
    <x v="0"/>
    <x v="2"/>
    <x v="0"/>
    <x v="6"/>
    <n v="2"/>
    <x v="6"/>
    <x v="2"/>
  </r>
  <r>
    <s v="TX501040"/>
    <x v="8"/>
    <x v="8"/>
    <n v="39.4"/>
    <n v="315.2"/>
    <x v="40"/>
    <d v="2025-02-12T00:00:00"/>
    <s v="M"/>
    <x v="0"/>
    <x v="0"/>
    <x v="0"/>
    <x v="36"/>
    <n v="2"/>
    <x v="6"/>
    <x v="1"/>
  </r>
  <r>
    <s v="TX501041"/>
    <x v="18"/>
    <x v="2"/>
    <n v="66.400000000000006"/>
    <n v="199.20000000000002"/>
    <x v="40"/>
    <d v="2025-02-11T00:00:00"/>
    <s v=""/>
    <x v="2"/>
    <x v="1"/>
    <x v="0"/>
    <x v="7"/>
    <n v="1"/>
    <x v="6"/>
    <x v="0"/>
  </r>
  <r>
    <s v="TX501042"/>
    <x v="17"/>
    <x v="12"/>
    <n v="35.9"/>
    <n v="143.6"/>
    <x v="40"/>
    <d v="2025-02-17T00:00:00"/>
    <s v="F"/>
    <x v="1"/>
    <x v="0"/>
    <x v="0"/>
    <x v="7"/>
    <n v="7"/>
    <x v="6"/>
    <x v="2"/>
  </r>
  <r>
    <s v="TX501043"/>
    <x v="0"/>
    <x v="12"/>
    <n v="26.9"/>
    <n v="107.6"/>
    <x v="40"/>
    <d v="2025-02-11T00:00:00"/>
    <s v="M"/>
    <x v="1"/>
    <x v="0"/>
    <x v="0"/>
    <x v="7"/>
    <n v="1"/>
    <x v="6"/>
    <x v="1"/>
  </r>
  <r>
    <s v="TX501044"/>
    <x v="2"/>
    <x v="0"/>
    <n v="55.1"/>
    <n v="55.1"/>
    <x v="40"/>
    <d v="2025-02-11T00:00:00"/>
    <s v="F"/>
    <x v="0"/>
    <x v="0"/>
    <x v="0"/>
    <x v="7"/>
    <n v="1"/>
    <x v="6"/>
    <x v="2"/>
  </r>
  <r>
    <s v="TX501045"/>
    <x v="4"/>
    <x v="1"/>
    <n v="23.9"/>
    <n v="47.8"/>
    <x v="40"/>
    <d v="2025-02-11T00:00:00"/>
    <s v="M"/>
    <x v="0"/>
    <x v="2"/>
    <x v="0"/>
    <x v="8"/>
    <n v="1"/>
    <x v="6"/>
    <x v="1"/>
  </r>
  <r>
    <s v="TX501046"/>
    <x v="9"/>
    <x v="15"/>
    <n v="21.1"/>
    <n v="274.3"/>
    <x v="40"/>
    <d v="2025-02-18T00:00:00"/>
    <s v="F"/>
    <x v="0"/>
    <x v="1"/>
    <x v="0"/>
    <x v="8"/>
    <n v="8"/>
    <x v="6"/>
    <x v="2"/>
  </r>
  <r>
    <s v="TX501047"/>
    <x v="8"/>
    <x v="9"/>
    <n v="33.799999999999997"/>
    <n v="169"/>
    <x v="40"/>
    <d v="2025-02-12T00:00:00"/>
    <s v="F"/>
    <x v="0"/>
    <x v="0"/>
    <x v="0"/>
    <x v="8"/>
    <n v="2"/>
    <x v="6"/>
    <x v="2"/>
  </r>
  <r>
    <s v="TX501048"/>
    <x v="2"/>
    <x v="12"/>
    <n v="56.1"/>
    <n v="224.4"/>
    <x v="40"/>
    <d v="2025-02-10T00:00:00"/>
    <s v="F"/>
    <x v="3"/>
    <x v="2"/>
    <x v="0"/>
    <x v="9"/>
    <n v="0"/>
    <x v="6"/>
    <x v="2"/>
  </r>
  <r>
    <s v="TX501049"/>
    <x v="3"/>
    <x v="0"/>
    <n v="58.5"/>
    <n v="58.5"/>
    <x v="41"/>
    <d v="2025-02-15T00:00:00"/>
    <s v="F"/>
    <x v="1"/>
    <x v="2"/>
    <x v="0"/>
    <x v="9"/>
    <n v="4"/>
    <x v="6"/>
    <x v="2"/>
  </r>
  <r>
    <s v="TX501050"/>
    <x v="6"/>
    <x v="0"/>
    <n v="84.2"/>
    <n v="84.2"/>
    <x v="41"/>
    <d v="2025-02-13T00:00:00"/>
    <s v="M"/>
    <x v="3"/>
    <x v="0"/>
    <x v="0"/>
    <x v="11"/>
    <n v="2"/>
    <x v="6"/>
    <x v="1"/>
  </r>
  <r>
    <s v="TX501051"/>
    <x v="11"/>
    <x v="12"/>
    <n v="52"/>
    <n v="208"/>
    <x v="41"/>
    <d v="2025-02-14T00:00:00"/>
    <s v="M"/>
    <x v="0"/>
    <x v="0"/>
    <x v="0"/>
    <x v="11"/>
    <n v="3"/>
    <x v="6"/>
    <x v="1"/>
  </r>
  <r>
    <s v="TX501052"/>
    <x v="4"/>
    <x v="9"/>
    <n v="31.5"/>
    <n v="157.5"/>
    <x v="41"/>
    <d v="2025-02-12T00:00:00"/>
    <s v="F"/>
    <x v="0"/>
    <x v="2"/>
    <x v="0"/>
    <x v="11"/>
    <n v="1"/>
    <x v="6"/>
    <x v="2"/>
  </r>
  <r>
    <s v="TX501053"/>
    <x v="16"/>
    <x v="2"/>
    <n v="46.2"/>
    <n v="138.60000000000002"/>
    <x v="41"/>
    <d v="2025-02-12T00:00:00"/>
    <s v="M"/>
    <x v="0"/>
    <x v="0"/>
    <x v="0"/>
    <x v="53"/>
    <n v="1"/>
    <x v="6"/>
    <x v="1"/>
  </r>
  <r>
    <s v="TX501054"/>
    <x v="2"/>
    <x v="13"/>
    <n v="135"/>
    <n v="810"/>
    <x v="41"/>
    <d v="2025-02-12T00:00:00"/>
    <s v="F"/>
    <x v="1"/>
    <x v="2"/>
    <x v="0"/>
    <x v="18"/>
    <n v="1"/>
    <x v="6"/>
    <x v="2"/>
  </r>
  <r>
    <s v="TX501055"/>
    <x v="12"/>
    <x v="2"/>
    <n v="92.2"/>
    <n v="276.60000000000002"/>
    <x v="41"/>
    <d v="2025-02-15T00:00:00"/>
    <s v="M"/>
    <x v="0"/>
    <x v="0"/>
    <x v="0"/>
    <x v="21"/>
    <n v="4"/>
    <x v="6"/>
    <x v="1"/>
  </r>
  <r>
    <s v="TX501056"/>
    <x v="8"/>
    <x v="0"/>
    <n v="36.6"/>
    <n v="36.6"/>
    <x v="41"/>
    <d v="2025-02-13T00:00:00"/>
    <s v="M"/>
    <x v="2"/>
    <x v="2"/>
    <x v="0"/>
    <x v="21"/>
    <n v="2"/>
    <x v="6"/>
    <x v="1"/>
  </r>
  <r>
    <s v="TX501057"/>
    <x v="9"/>
    <x v="1"/>
    <n v="50.6"/>
    <n v="101.2"/>
    <x v="41"/>
    <d v="2025-02-14T00:00:00"/>
    <s v="F"/>
    <x v="0"/>
    <x v="0"/>
    <x v="0"/>
    <x v="2"/>
    <n v="3"/>
    <x v="6"/>
    <x v="2"/>
  </r>
  <r>
    <s v="TX501058"/>
    <x v="18"/>
    <x v="3"/>
    <n v="56.7"/>
    <n v="396.90000000000003"/>
    <x v="41"/>
    <d v="2025-02-14T00:00:00"/>
    <s v="F"/>
    <x v="0"/>
    <x v="0"/>
    <x v="0"/>
    <x v="2"/>
    <n v="3"/>
    <x v="6"/>
    <x v="2"/>
  </r>
  <r>
    <s v="TX501059"/>
    <x v="9"/>
    <x v="15"/>
    <n v="22.9"/>
    <n v="297.7"/>
    <x v="41"/>
    <d v="2025-02-12T00:00:00"/>
    <s v="F"/>
    <x v="0"/>
    <x v="1"/>
    <x v="0"/>
    <x v="44"/>
    <n v="1"/>
    <x v="6"/>
    <x v="2"/>
  </r>
  <r>
    <s v="TX501060"/>
    <x v="15"/>
    <x v="10"/>
    <n v="53.6"/>
    <n v="1018.4"/>
    <x v="41"/>
    <d v="2025-02-12T00:00:00"/>
    <s v="M"/>
    <x v="0"/>
    <x v="0"/>
    <x v="0"/>
    <x v="22"/>
    <n v="1"/>
    <x v="6"/>
    <x v="1"/>
  </r>
  <r>
    <s v="TX501061"/>
    <x v="18"/>
    <x v="1"/>
    <n v="30.2"/>
    <n v="60.4"/>
    <x v="41"/>
    <d v="2025-02-13T00:00:00"/>
    <s v=""/>
    <x v="2"/>
    <x v="2"/>
    <x v="0"/>
    <x v="3"/>
    <n v="2"/>
    <x v="6"/>
    <x v="0"/>
  </r>
  <r>
    <s v="TX501062"/>
    <x v="15"/>
    <x v="13"/>
    <n v="83.4"/>
    <n v="500.40000000000003"/>
    <x v="41"/>
    <d v="2025-02-12T00:00:00"/>
    <s v="M"/>
    <x v="1"/>
    <x v="2"/>
    <x v="0"/>
    <x v="3"/>
    <n v="1"/>
    <x v="6"/>
    <x v="1"/>
  </r>
  <r>
    <s v="TX501063"/>
    <x v="13"/>
    <x v="4"/>
    <n v="16.600000000000001"/>
    <n v="199.20000000000002"/>
    <x v="41"/>
    <d v="2025-02-13T00:00:00"/>
    <s v="M"/>
    <x v="1"/>
    <x v="0"/>
    <x v="0"/>
    <x v="3"/>
    <n v="2"/>
    <x v="6"/>
    <x v="1"/>
  </r>
  <r>
    <s v="TX501064"/>
    <x v="8"/>
    <x v="14"/>
    <n v="21.9"/>
    <n v="372.29999999999995"/>
    <x v="41"/>
    <d v="2025-02-13T00:00:00"/>
    <s v="F"/>
    <x v="4"/>
    <x v="1"/>
    <x v="0"/>
    <x v="3"/>
    <n v="2"/>
    <x v="6"/>
    <x v="2"/>
  </r>
  <r>
    <s v="TX501065"/>
    <x v="8"/>
    <x v="31"/>
    <n v="33.799999999999997"/>
    <n v="946.39999999999986"/>
    <x v="41"/>
    <d v="2025-02-13T00:00:00"/>
    <s v="M"/>
    <x v="2"/>
    <x v="4"/>
    <x v="0"/>
    <x v="3"/>
    <n v="2"/>
    <x v="6"/>
    <x v="1"/>
  </r>
  <r>
    <s v="TX501066"/>
    <x v="18"/>
    <x v="1"/>
    <n v="53.2"/>
    <n v="106.4"/>
    <x v="41"/>
    <d v="2025-02-11T00:00:00"/>
    <s v="M"/>
    <x v="1"/>
    <x v="0"/>
    <x v="0"/>
    <x v="3"/>
    <n v="0"/>
    <x v="6"/>
    <x v="1"/>
  </r>
  <r>
    <s v="TX501067"/>
    <x v="2"/>
    <x v="1"/>
    <n v="176.7"/>
    <n v="353.4"/>
    <x v="41"/>
    <d v="2025-02-14T00:00:00"/>
    <s v="F"/>
    <x v="2"/>
    <x v="0"/>
    <x v="0"/>
    <x v="3"/>
    <n v="3"/>
    <x v="6"/>
    <x v="2"/>
  </r>
  <r>
    <s v="TX501068"/>
    <x v="12"/>
    <x v="2"/>
    <n v="54"/>
    <n v="162"/>
    <x v="41"/>
    <d v="2025-02-14T00:00:00"/>
    <s v="M"/>
    <x v="0"/>
    <x v="1"/>
    <x v="0"/>
    <x v="3"/>
    <n v="3"/>
    <x v="6"/>
    <x v="1"/>
  </r>
  <r>
    <s v="TX501069"/>
    <x v="9"/>
    <x v="1"/>
    <n v="70.099999999999994"/>
    <n v="140.19999999999999"/>
    <x v="41"/>
    <d v="2025-02-19T00:00:00"/>
    <s v="F"/>
    <x v="3"/>
    <x v="2"/>
    <x v="0"/>
    <x v="3"/>
    <n v="8"/>
    <x v="6"/>
    <x v="2"/>
  </r>
  <r>
    <s v="TX501070"/>
    <x v="8"/>
    <x v="0"/>
    <n v="26.5"/>
    <n v="26.5"/>
    <x v="41"/>
    <d v="2025-02-13T00:00:00"/>
    <s v="F"/>
    <x v="1"/>
    <x v="0"/>
    <x v="0"/>
    <x v="3"/>
    <n v="2"/>
    <x v="6"/>
    <x v="2"/>
  </r>
  <r>
    <s v="TX501071"/>
    <x v="7"/>
    <x v="9"/>
    <n v="89"/>
    <n v="445"/>
    <x v="41"/>
    <d v="2025-02-13T00:00:00"/>
    <s v="M"/>
    <x v="2"/>
    <x v="4"/>
    <x v="0"/>
    <x v="3"/>
    <n v="2"/>
    <x v="6"/>
    <x v="1"/>
  </r>
  <r>
    <s v="TX501072"/>
    <x v="1"/>
    <x v="13"/>
    <n v="47"/>
    <n v="282"/>
    <x v="41"/>
    <d v="2025-02-14T00:00:00"/>
    <s v="F"/>
    <x v="3"/>
    <x v="0"/>
    <x v="0"/>
    <x v="24"/>
    <n v="3"/>
    <x v="6"/>
    <x v="2"/>
  </r>
  <r>
    <s v="TX501073"/>
    <x v="3"/>
    <x v="1"/>
    <n v="55.2"/>
    <n v="110.4"/>
    <x v="41"/>
    <d v="2025-02-14T00:00:00"/>
    <s v="M"/>
    <x v="1"/>
    <x v="1"/>
    <x v="0"/>
    <x v="6"/>
    <n v="3"/>
    <x v="6"/>
    <x v="1"/>
  </r>
  <r>
    <s v="TX501074"/>
    <x v="8"/>
    <x v="39"/>
    <n v="33.299999999999997"/>
    <n v="1398.6"/>
    <x v="41"/>
    <d v="2025-02-25T00:00:00"/>
    <s v="M"/>
    <x v="1"/>
    <x v="2"/>
    <x v="0"/>
    <x v="6"/>
    <n v="14"/>
    <x v="6"/>
    <x v="1"/>
  </r>
  <r>
    <s v="TX501075"/>
    <x v="2"/>
    <x v="12"/>
    <n v="110.9"/>
    <n v="443.6"/>
    <x v="42"/>
    <d v="2025-02-12T00:00:00"/>
    <s v="M"/>
    <x v="2"/>
    <x v="4"/>
    <x v="0"/>
    <x v="6"/>
    <n v="0"/>
    <x v="6"/>
    <x v="1"/>
  </r>
  <r>
    <s v="TX501076"/>
    <x v="2"/>
    <x v="13"/>
    <n v="67.3"/>
    <n v="403.79999999999995"/>
    <x v="42"/>
    <d v="2025-02-13T00:00:00"/>
    <s v="M"/>
    <x v="0"/>
    <x v="0"/>
    <x v="0"/>
    <x v="8"/>
    <n v="1"/>
    <x v="6"/>
    <x v="1"/>
  </r>
  <r>
    <s v="TX501077"/>
    <x v="6"/>
    <x v="2"/>
    <n v="69.7"/>
    <n v="209.10000000000002"/>
    <x v="42"/>
    <d v="2025-02-13T00:00:00"/>
    <s v="M"/>
    <x v="2"/>
    <x v="1"/>
    <x v="0"/>
    <x v="8"/>
    <n v="1"/>
    <x v="6"/>
    <x v="1"/>
  </r>
  <r>
    <s v="TX501078"/>
    <x v="5"/>
    <x v="0"/>
    <n v="39.1"/>
    <n v="39.1"/>
    <x v="42"/>
    <d v="2025-02-17T00:00:00"/>
    <s v="M"/>
    <x v="0"/>
    <x v="1"/>
    <x v="0"/>
    <x v="17"/>
    <n v="5"/>
    <x v="6"/>
    <x v="1"/>
  </r>
  <r>
    <s v="TX501079"/>
    <x v="2"/>
    <x v="2"/>
    <n v="208.6"/>
    <n v="625.79999999999995"/>
    <x v="42"/>
    <d v="2025-02-12T00:00:00"/>
    <s v="M"/>
    <x v="4"/>
    <x v="2"/>
    <x v="0"/>
    <x v="17"/>
    <n v="0"/>
    <x v="6"/>
    <x v="1"/>
  </r>
  <r>
    <s v="TX501080"/>
    <x v="15"/>
    <x v="2"/>
    <n v="27.8"/>
    <n v="83.4"/>
    <x v="42"/>
    <d v="2025-02-13T00:00:00"/>
    <s v="M"/>
    <x v="3"/>
    <x v="1"/>
    <x v="0"/>
    <x v="11"/>
    <n v="1"/>
    <x v="6"/>
    <x v="1"/>
  </r>
  <r>
    <s v="TX501081"/>
    <x v="10"/>
    <x v="9"/>
    <n v="29.4"/>
    <n v="147"/>
    <x v="42"/>
    <d v="2025-02-14T00:00:00"/>
    <s v="F"/>
    <x v="0"/>
    <x v="0"/>
    <x v="0"/>
    <x v="11"/>
    <n v="2"/>
    <x v="6"/>
    <x v="2"/>
  </r>
  <r>
    <s v="TX501082"/>
    <x v="9"/>
    <x v="1"/>
    <n v="29.2"/>
    <n v="58.4"/>
    <x v="42"/>
    <d v="2025-02-14T00:00:00"/>
    <s v="F"/>
    <x v="1"/>
    <x v="2"/>
    <x v="0"/>
    <x v="20"/>
    <n v="2"/>
    <x v="6"/>
    <x v="2"/>
  </r>
  <r>
    <s v="TX501083"/>
    <x v="10"/>
    <x v="9"/>
    <n v="26.5"/>
    <n v="132.5"/>
    <x v="42"/>
    <d v="2025-02-14T00:00:00"/>
    <s v="F"/>
    <x v="0"/>
    <x v="0"/>
    <x v="0"/>
    <x v="52"/>
    <n v="2"/>
    <x v="6"/>
    <x v="2"/>
  </r>
  <r>
    <s v="TX501084"/>
    <x v="5"/>
    <x v="0"/>
    <n v="30.3"/>
    <n v="30.3"/>
    <x v="42"/>
    <d v="2025-02-13T00:00:00"/>
    <s v="F"/>
    <x v="4"/>
    <x v="1"/>
    <x v="0"/>
    <x v="13"/>
    <n v="1"/>
    <x v="6"/>
    <x v="2"/>
  </r>
  <r>
    <s v="TX501085"/>
    <x v="16"/>
    <x v="4"/>
    <n v="39.700000000000003"/>
    <n v="476.40000000000003"/>
    <x v="42"/>
    <d v="2025-02-13T00:00:00"/>
    <s v="F"/>
    <x v="0"/>
    <x v="0"/>
    <x v="0"/>
    <x v="21"/>
    <n v="1"/>
    <x v="6"/>
    <x v="2"/>
  </r>
  <r>
    <s v="TX501086"/>
    <x v="7"/>
    <x v="7"/>
    <n v="58.9"/>
    <n v="589"/>
    <x v="42"/>
    <d v="2025-02-14T00:00:00"/>
    <s v="F"/>
    <x v="1"/>
    <x v="4"/>
    <x v="0"/>
    <x v="21"/>
    <n v="2"/>
    <x v="6"/>
    <x v="2"/>
  </r>
  <r>
    <s v="TX501087"/>
    <x v="2"/>
    <x v="1"/>
    <n v="174.1"/>
    <n v="348.2"/>
    <x v="42"/>
    <d v="2025-02-14T00:00:00"/>
    <s v="F"/>
    <x v="0"/>
    <x v="1"/>
    <x v="0"/>
    <x v="46"/>
    <n v="2"/>
    <x v="6"/>
    <x v="2"/>
  </r>
  <r>
    <s v="TX501088"/>
    <x v="6"/>
    <x v="1"/>
    <n v="70.8"/>
    <n v="141.6"/>
    <x v="42"/>
    <d v="2025-02-15T00:00:00"/>
    <s v="M"/>
    <x v="2"/>
    <x v="0"/>
    <x v="0"/>
    <x v="22"/>
    <n v="3"/>
    <x v="6"/>
    <x v="1"/>
  </r>
  <r>
    <s v="TX501089"/>
    <x v="7"/>
    <x v="1"/>
    <n v="57.4"/>
    <n v="114.8"/>
    <x v="42"/>
    <d v="2025-02-14T00:00:00"/>
    <s v="F"/>
    <x v="1"/>
    <x v="1"/>
    <x v="0"/>
    <x v="34"/>
    <n v="2"/>
    <x v="6"/>
    <x v="2"/>
  </r>
  <r>
    <s v="TX501090"/>
    <x v="0"/>
    <x v="1"/>
    <n v="28.5"/>
    <n v="57"/>
    <x v="42"/>
    <d v="2025-02-14T00:00:00"/>
    <s v="M"/>
    <x v="3"/>
    <x v="1"/>
    <x v="0"/>
    <x v="3"/>
    <n v="2"/>
    <x v="6"/>
    <x v="1"/>
  </r>
  <r>
    <s v="TX501091"/>
    <x v="2"/>
    <x v="28"/>
    <n v="106.6"/>
    <n v="2132"/>
    <x v="42"/>
    <d v="2025-02-13T00:00:00"/>
    <s v=""/>
    <x v="1"/>
    <x v="4"/>
    <x v="0"/>
    <x v="3"/>
    <n v="1"/>
    <x v="6"/>
    <x v="0"/>
  </r>
  <r>
    <s v="TX501092"/>
    <x v="2"/>
    <x v="2"/>
    <n v="119.7"/>
    <n v="359.1"/>
    <x v="42"/>
    <d v="2025-02-13T00:00:00"/>
    <s v="F"/>
    <x v="1"/>
    <x v="4"/>
    <x v="0"/>
    <x v="3"/>
    <n v="1"/>
    <x v="6"/>
    <x v="2"/>
  </r>
  <r>
    <s v="TX501093"/>
    <x v="18"/>
    <x v="0"/>
    <n v="73.3"/>
    <n v="73.3"/>
    <x v="42"/>
    <d v="2025-02-17T00:00:00"/>
    <s v="F"/>
    <x v="0"/>
    <x v="2"/>
    <x v="0"/>
    <x v="3"/>
    <n v="5"/>
    <x v="6"/>
    <x v="2"/>
  </r>
  <r>
    <s v="TX501094"/>
    <x v="0"/>
    <x v="1"/>
    <n v="25.8"/>
    <n v="51.6"/>
    <x v="42"/>
    <d v="2025-02-26T00:00:00"/>
    <s v="M"/>
    <x v="2"/>
    <x v="0"/>
    <x v="0"/>
    <x v="3"/>
    <n v="14"/>
    <x v="6"/>
    <x v="1"/>
  </r>
  <r>
    <s v="TX501095"/>
    <x v="17"/>
    <x v="2"/>
    <n v="49.1"/>
    <n v="147.30000000000001"/>
    <x v="42"/>
    <d v="2025-02-14T00:00:00"/>
    <s v="F"/>
    <x v="0"/>
    <x v="0"/>
    <x v="0"/>
    <x v="24"/>
    <n v="2"/>
    <x v="6"/>
    <x v="2"/>
  </r>
  <r>
    <s v="TX501096"/>
    <x v="1"/>
    <x v="0"/>
    <n v="44.9"/>
    <n v="44.9"/>
    <x v="42"/>
    <d v="2025-02-15T00:00:00"/>
    <s v="F"/>
    <x v="3"/>
    <x v="2"/>
    <x v="0"/>
    <x v="6"/>
    <n v="3"/>
    <x v="6"/>
    <x v="2"/>
  </r>
  <r>
    <s v="TX501097"/>
    <x v="15"/>
    <x v="3"/>
    <n v="29.9"/>
    <n v="209.29999999999998"/>
    <x v="42"/>
    <d v="2025-02-13T00:00:00"/>
    <s v="F"/>
    <x v="0"/>
    <x v="0"/>
    <x v="0"/>
    <x v="6"/>
    <n v="1"/>
    <x v="6"/>
    <x v="2"/>
  </r>
  <r>
    <s v="TX501098"/>
    <x v="7"/>
    <x v="1"/>
    <n v="54.3"/>
    <n v="108.6"/>
    <x v="43"/>
    <d v="2025-02-14T00:00:00"/>
    <s v="M"/>
    <x v="3"/>
    <x v="0"/>
    <x v="0"/>
    <x v="36"/>
    <n v="1"/>
    <x v="6"/>
    <x v="1"/>
  </r>
  <r>
    <s v="TX501099"/>
    <x v="9"/>
    <x v="12"/>
    <n v="57"/>
    <n v="228"/>
    <x v="43"/>
    <d v="2025-02-15T00:00:00"/>
    <s v="F"/>
    <x v="0"/>
    <x v="0"/>
    <x v="0"/>
    <x v="8"/>
    <n v="2"/>
    <x v="6"/>
    <x v="2"/>
  </r>
  <r>
    <s v="TX501100"/>
    <x v="2"/>
    <x v="0"/>
    <n v="139.19999999999999"/>
    <n v="139.19999999999999"/>
    <x v="43"/>
    <d v="2025-02-14T00:00:00"/>
    <s v="F"/>
    <x v="3"/>
    <x v="2"/>
    <x v="0"/>
    <x v="8"/>
    <n v="1"/>
    <x v="6"/>
    <x v="2"/>
  </r>
  <r>
    <s v="TX501101"/>
    <x v="10"/>
    <x v="0"/>
    <n v="33"/>
    <n v="33"/>
    <x v="43"/>
    <d v="2025-02-16T00:00:00"/>
    <s v="F"/>
    <x v="0"/>
    <x v="2"/>
    <x v="0"/>
    <x v="8"/>
    <n v="3"/>
    <x v="6"/>
    <x v="2"/>
  </r>
  <r>
    <s v="TX501102"/>
    <x v="11"/>
    <x v="13"/>
    <n v="80.2"/>
    <n v="481.20000000000005"/>
    <x v="43"/>
    <d v="2025-02-15T00:00:00"/>
    <s v="M"/>
    <x v="1"/>
    <x v="4"/>
    <x v="0"/>
    <x v="8"/>
    <n v="2"/>
    <x v="6"/>
    <x v="1"/>
  </r>
  <r>
    <s v="TX501103"/>
    <x v="18"/>
    <x v="8"/>
    <n v="49"/>
    <n v="392"/>
    <x v="43"/>
    <d v="2025-02-14T00:00:00"/>
    <s v=""/>
    <x v="2"/>
    <x v="1"/>
    <x v="0"/>
    <x v="9"/>
    <n v="1"/>
    <x v="6"/>
    <x v="0"/>
  </r>
  <r>
    <s v="TX501104"/>
    <x v="1"/>
    <x v="12"/>
    <n v="104.4"/>
    <n v="417.6"/>
    <x v="43"/>
    <d v="2025-02-13T00:00:00"/>
    <s v="F"/>
    <x v="0"/>
    <x v="0"/>
    <x v="0"/>
    <x v="9"/>
    <n v="0"/>
    <x v="6"/>
    <x v="2"/>
  </r>
  <r>
    <s v="TX501105"/>
    <x v="3"/>
    <x v="0"/>
    <n v="41.6"/>
    <n v="41.6"/>
    <x v="43"/>
    <d v="2025-02-16T00:00:00"/>
    <s v="M"/>
    <x v="3"/>
    <x v="0"/>
    <x v="0"/>
    <x v="11"/>
    <n v="3"/>
    <x v="6"/>
    <x v="1"/>
  </r>
  <r>
    <s v="TX501106"/>
    <x v="19"/>
    <x v="1"/>
    <n v="16.399999999999999"/>
    <n v="32.799999999999997"/>
    <x v="43"/>
    <d v="2025-02-14T00:00:00"/>
    <s v="O"/>
    <x v="0"/>
    <x v="2"/>
    <x v="0"/>
    <x v="11"/>
    <n v="1"/>
    <x v="6"/>
    <x v="3"/>
  </r>
  <r>
    <s v="TX501107"/>
    <x v="8"/>
    <x v="1"/>
    <n v="22"/>
    <n v="44"/>
    <x v="43"/>
    <d v="2025-02-14T00:00:00"/>
    <s v="M"/>
    <x v="2"/>
    <x v="2"/>
    <x v="0"/>
    <x v="53"/>
    <n v="1"/>
    <x v="6"/>
    <x v="1"/>
  </r>
  <r>
    <s v="TX501108"/>
    <x v="15"/>
    <x v="1"/>
    <n v="33.6"/>
    <n v="67.2"/>
    <x v="43"/>
    <d v="2025-02-18T00:00:00"/>
    <s v="F"/>
    <x v="0"/>
    <x v="0"/>
    <x v="0"/>
    <x v="21"/>
    <n v="5"/>
    <x v="6"/>
    <x v="2"/>
  </r>
  <r>
    <s v="TX501109"/>
    <x v="11"/>
    <x v="13"/>
    <n v="43"/>
    <n v="258"/>
    <x v="43"/>
    <d v="2025-02-14T00:00:00"/>
    <s v="F"/>
    <x v="2"/>
    <x v="0"/>
    <x v="0"/>
    <x v="21"/>
    <n v="1"/>
    <x v="6"/>
    <x v="2"/>
  </r>
  <r>
    <s v="TX501110"/>
    <x v="6"/>
    <x v="9"/>
    <n v="108.8"/>
    <n v="544"/>
    <x v="43"/>
    <d v="2025-02-16T00:00:00"/>
    <s v="F"/>
    <x v="4"/>
    <x v="2"/>
    <x v="0"/>
    <x v="21"/>
    <n v="3"/>
    <x v="6"/>
    <x v="2"/>
  </r>
  <r>
    <s v="TX501111"/>
    <x v="0"/>
    <x v="11"/>
    <n v="29.3"/>
    <n v="263.7"/>
    <x v="43"/>
    <d v="2025-02-15T00:00:00"/>
    <s v="M"/>
    <x v="4"/>
    <x v="2"/>
    <x v="0"/>
    <x v="21"/>
    <n v="2"/>
    <x v="6"/>
    <x v="1"/>
  </r>
  <r>
    <s v="TX501112"/>
    <x v="2"/>
    <x v="0"/>
    <n v="122.7"/>
    <n v="122.7"/>
    <x v="43"/>
    <d v="2025-02-16T00:00:00"/>
    <s v="O"/>
    <x v="0"/>
    <x v="2"/>
    <x v="0"/>
    <x v="1"/>
    <n v="3"/>
    <x v="6"/>
    <x v="3"/>
  </r>
  <r>
    <s v="TX501113"/>
    <x v="4"/>
    <x v="3"/>
    <n v="22.9"/>
    <n v="160.29999999999998"/>
    <x v="43"/>
    <d v="2025-02-14T00:00:00"/>
    <s v="F"/>
    <x v="0"/>
    <x v="0"/>
    <x v="0"/>
    <x v="42"/>
    <n v="1"/>
    <x v="6"/>
    <x v="2"/>
  </r>
  <r>
    <s v="TX501114"/>
    <x v="8"/>
    <x v="7"/>
    <n v="25.5"/>
    <n v="255"/>
    <x v="43"/>
    <d v="2025-02-20T00:00:00"/>
    <s v="F"/>
    <x v="0"/>
    <x v="0"/>
    <x v="0"/>
    <x v="33"/>
    <n v="7"/>
    <x v="6"/>
    <x v="2"/>
  </r>
  <r>
    <s v="TX501115"/>
    <x v="17"/>
    <x v="2"/>
    <n v="23.4"/>
    <n v="70.199999999999989"/>
    <x v="43"/>
    <d v="2025-02-17T00:00:00"/>
    <s v="F"/>
    <x v="0"/>
    <x v="2"/>
    <x v="0"/>
    <x v="3"/>
    <n v="4"/>
    <x v="6"/>
    <x v="2"/>
  </r>
  <r>
    <s v="TX501116"/>
    <x v="5"/>
    <x v="8"/>
    <n v="27.4"/>
    <n v="219.2"/>
    <x v="43"/>
    <d v="2025-02-16T00:00:00"/>
    <s v="F"/>
    <x v="2"/>
    <x v="0"/>
    <x v="0"/>
    <x v="3"/>
    <n v="3"/>
    <x v="6"/>
    <x v="2"/>
  </r>
  <r>
    <s v="TX501117"/>
    <x v="5"/>
    <x v="9"/>
    <n v="68.400000000000006"/>
    <n v="342"/>
    <x v="43"/>
    <d v="2025-02-14T00:00:00"/>
    <s v="F"/>
    <x v="0"/>
    <x v="0"/>
    <x v="0"/>
    <x v="3"/>
    <n v="1"/>
    <x v="6"/>
    <x v="2"/>
  </r>
  <r>
    <s v="TX501118"/>
    <x v="6"/>
    <x v="0"/>
    <n v="51.9"/>
    <n v="51.9"/>
    <x v="43"/>
    <d v="2025-02-13T00:00:00"/>
    <s v="F"/>
    <x v="0"/>
    <x v="0"/>
    <x v="0"/>
    <x v="3"/>
    <n v="0"/>
    <x v="6"/>
    <x v="2"/>
  </r>
  <r>
    <s v="TX501119"/>
    <x v="0"/>
    <x v="9"/>
    <n v="26.4"/>
    <n v="132"/>
    <x v="43"/>
    <d v="2025-02-16T00:00:00"/>
    <s v="F"/>
    <x v="0"/>
    <x v="2"/>
    <x v="0"/>
    <x v="3"/>
    <n v="3"/>
    <x v="6"/>
    <x v="2"/>
  </r>
  <r>
    <s v="TX501120"/>
    <x v="12"/>
    <x v="1"/>
    <n v="117"/>
    <n v="234"/>
    <x v="43"/>
    <d v="2025-02-14T00:00:00"/>
    <s v="F"/>
    <x v="1"/>
    <x v="1"/>
    <x v="0"/>
    <x v="3"/>
    <n v="1"/>
    <x v="6"/>
    <x v="2"/>
  </r>
  <r>
    <s v="TX501121"/>
    <x v="7"/>
    <x v="2"/>
    <n v="49.6"/>
    <n v="148.80000000000001"/>
    <x v="44"/>
    <d v="2025-02-16T00:00:00"/>
    <s v="F"/>
    <x v="0"/>
    <x v="0"/>
    <x v="0"/>
    <x v="3"/>
    <n v="2"/>
    <x v="6"/>
    <x v="2"/>
  </r>
  <r>
    <s v="TX501122"/>
    <x v="4"/>
    <x v="2"/>
    <n v="38"/>
    <n v="114"/>
    <x v="44"/>
    <d v="2025-02-17T00:00:00"/>
    <s v="M"/>
    <x v="2"/>
    <x v="4"/>
    <x v="0"/>
    <x v="3"/>
    <n v="3"/>
    <x v="6"/>
    <x v="1"/>
  </r>
  <r>
    <s v="TX501123"/>
    <x v="0"/>
    <x v="2"/>
    <n v="20.6"/>
    <n v="61.800000000000004"/>
    <x v="44"/>
    <d v="2025-02-16T00:00:00"/>
    <s v="F"/>
    <x v="4"/>
    <x v="2"/>
    <x v="0"/>
    <x v="3"/>
    <n v="2"/>
    <x v="6"/>
    <x v="2"/>
  </r>
  <r>
    <s v="TX501124"/>
    <x v="0"/>
    <x v="1"/>
    <n v="16"/>
    <n v="32"/>
    <x v="44"/>
    <d v="2025-02-15T00:00:00"/>
    <s v="M"/>
    <x v="1"/>
    <x v="1"/>
    <x v="0"/>
    <x v="49"/>
    <n v="1"/>
    <x v="6"/>
    <x v="1"/>
  </r>
  <r>
    <s v="TX501125"/>
    <x v="15"/>
    <x v="12"/>
    <n v="49.3"/>
    <n v="197.2"/>
    <x v="44"/>
    <d v="2025-02-15T00:00:00"/>
    <s v="F"/>
    <x v="2"/>
    <x v="0"/>
    <x v="0"/>
    <x v="23"/>
    <n v="1"/>
    <x v="6"/>
    <x v="2"/>
  </r>
  <r>
    <s v="TX501126"/>
    <x v="9"/>
    <x v="1"/>
    <n v="24.1"/>
    <n v="48.2"/>
    <x v="44"/>
    <d v="2025-02-18T00:00:00"/>
    <s v="F"/>
    <x v="0"/>
    <x v="0"/>
    <x v="0"/>
    <x v="6"/>
    <n v="4"/>
    <x v="6"/>
    <x v="2"/>
  </r>
  <r>
    <s v="TX501127"/>
    <x v="15"/>
    <x v="8"/>
    <n v="32.700000000000003"/>
    <n v="261.60000000000002"/>
    <x v="44"/>
    <d v="2025-02-15T00:00:00"/>
    <s v="F"/>
    <x v="1"/>
    <x v="0"/>
    <x v="0"/>
    <x v="6"/>
    <n v="1"/>
    <x v="6"/>
    <x v="2"/>
  </r>
  <r>
    <s v="TX501128"/>
    <x v="6"/>
    <x v="2"/>
    <n v="74.400000000000006"/>
    <n v="223.20000000000002"/>
    <x v="44"/>
    <d v="2025-02-15T00:00:00"/>
    <s v="F"/>
    <x v="3"/>
    <x v="2"/>
    <x v="0"/>
    <x v="8"/>
    <n v="1"/>
    <x v="6"/>
    <x v="2"/>
  </r>
  <r>
    <s v="TX501129"/>
    <x v="12"/>
    <x v="0"/>
    <n v="45.6"/>
    <n v="45.6"/>
    <x v="44"/>
    <d v="2025-02-18T00:00:00"/>
    <s v="F"/>
    <x v="4"/>
    <x v="0"/>
    <x v="0"/>
    <x v="8"/>
    <n v="4"/>
    <x v="6"/>
    <x v="2"/>
  </r>
  <r>
    <s v="TX501130"/>
    <x v="8"/>
    <x v="8"/>
    <n v="19.600000000000001"/>
    <n v="156.80000000000001"/>
    <x v="44"/>
    <d v="2025-02-27T00:00:00"/>
    <s v="F"/>
    <x v="0"/>
    <x v="0"/>
    <x v="0"/>
    <x v="8"/>
    <n v="13"/>
    <x v="6"/>
    <x v="2"/>
  </r>
  <r>
    <s v="TX501131"/>
    <x v="9"/>
    <x v="0"/>
    <n v="51.8"/>
    <n v="51.8"/>
    <x v="44"/>
    <d v="2025-02-15T00:00:00"/>
    <s v="F"/>
    <x v="1"/>
    <x v="0"/>
    <x v="0"/>
    <x v="8"/>
    <n v="1"/>
    <x v="6"/>
    <x v="2"/>
  </r>
  <r>
    <s v="TX501132"/>
    <x v="6"/>
    <x v="0"/>
    <n v="74.7"/>
    <n v="74.7"/>
    <x v="44"/>
    <d v="2025-02-15T00:00:00"/>
    <s v="M"/>
    <x v="0"/>
    <x v="1"/>
    <x v="0"/>
    <x v="8"/>
    <n v="1"/>
    <x v="6"/>
    <x v="1"/>
  </r>
  <r>
    <s v="TX501133"/>
    <x v="19"/>
    <x v="2"/>
    <n v="22.4"/>
    <n v="67.199999999999989"/>
    <x v="44"/>
    <d v="2025-02-15T00:00:00"/>
    <s v="F"/>
    <x v="1"/>
    <x v="2"/>
    <x v="0"/>
    <x v="9"/>
    <n v="1"/>
    <x v="6"/>
    <x v="2"/>
  </r>
  <r>
    <s v="TX501134"/>
    <x v="1"/>
    <x v="12"/>
    <n v="31.4"/>
    <n v="125.6"/>
    <x v="44"/>
    <d v="2025-02-15T00:00:00"/>
    <s v="F"/>
    <x v="1"/>
    <x v="0"/>
    <x v="0"/>
    <x v="9"/>
    <n v="1"/>
    <x v="6"/>
    <x v="2"/>
  </r>
  <r>
    <s v="TX501135"/>
    <x v="6"/>
    <x v="0"/>
    <n v="94"/>
    <n v="94"/>
    <x v="44"/>
    <d v="2025-02-14T00:00:00"/>
    <s v="F"/>
    <x v="1"/>
    <x v="2"/>
    <x v="0"/>
    <x v="10"/>
    <n v="0"/>
    <x v="6"/>
    <x v="2"/>
  </r>
  <r>
    <s v="TX501136"/>
    <x v="10"/>
    <x v="0"/>
    <n v="22.3"/>
    <n v="22.3"/>
    <x v="44"/>
    <d v="2025-02-15T00:00:00"/>
    <s v="M"/>
    <x v="4"/>
    <x v="0"/>
    <x v="0"/>
    <x v="20"/>
    <n v="1"/>
    <x v="6"/>
    <x v="1"/>
  </r>
  <r>
    <s v="TX501137"/>
    <x v="0"/>
    <x v="0"/>
    <n v="21.9"/>
    <n v="21.9"/>
    <x v="44"/>
    <d v="2025-02-17T00:00:00"/>
    <s v="F"/>
    <x v="2"/>
    <x v="0"/>
    <x v="0"/>
    <x v="21"/>
    <n v="3"/>
    <x v="6"/>
    <x v="2"/>
  </r>
  <r>
    <s v="TX501138"/>
    <x v="17"/>
    <x v="2"/>
    <n v="27"/>
    <n v="81"/>
    <x v="44"/>
    <d v="2025-02-16T00:00:00"/>
    <s v="F"/>
    <x v="4"/>
    <x v="2"/>
    <x v="0"/>
    <x v="2"/>
    <n v="2"/>
    <x v="6"/>
    <x v="2"/>
  </r>
  <r>
    <s v="TX501139"/>
    <x v="2"/>
    <x v="12"/>
    <n v="149.6"/>
    <n v="598.4"/>
    <x v="44"/>
    <d v="2025-02-14T00:00:00"/>
    <s v="F"/>
    <x v="4"/>
    <x v="0"/>
    <x v="0"/>
    <x v="22"/>
    <n v="0"/>
    <x v="6"/>
    <x v="2"/>
  </r>
  <r>
    <s v="TX501140"/>
    <x v="2"/>
    <x v="12"/>
    <n v="129.1"/>
    <n v="516.4"/>
    <x v="44"/>
    <d v="2025-02-24T00:00:00"/>
    <s v="M"/>
    <x v="0"/>
    <x v="1"/>
    <x v="0"/>
    <x v="3"/>
    <n v="10"/>
    <x v="6"/>
    <x v="1"/>
  </r>
  <r>
    <s v="TX501141"/>
    <x v="1"/>
    <x v="4"/>
    <n v="40.4"/>
    <n v="484.79999999999995"/>
    <x v="44"/>
    <d v="2025-02-15T00:00:00"/>
    <s v="M"/>
    <x v="1"/>
    <x v="1"/>
    <x v="0"/>
    <x v="3"/>
    <n v="1"/>
    <x v="6"/>
    <x v="1"/>
  </r>
  <r>
    <s v="TX501142"/>
    <x v="4"/>
    <x v="2"/>
    <n v="48.5"/>
    <n v="145.5"/>
    <x v="44"/>
    <d v="2025-02-16T00:00:00"/>
    <s v="F"/>
    <x v="0"/>
    <x v="4"/>
    <x v="0"/>
    <x v="3"/>
    <n v="2"/>
    <x v="6"/>
    <x v="2"/>
  </r>
  <r>
    <s v="TX501143"/>
    <x v="9"/>
    <x v="1"/>
    <n v="37.6"/>
    <n v="75.2"/>
    <x v="44"/>
    <d v="2025-02-16T00:00:00"/>
    <s v="F"/>
    <x v="1"/>
    <x v="2"/>
    <x v="0"/>
    <x v="3"/>
    <n v="2"/>
    <x v="6"/>
    <x v="2"/>
  </r>
  <r>
    <s v="TX501144"/>
    <x v="8"/>
    <x v="1"/>
    <n v="19.600000000000001"/>
    <n v="39.200000000000003"/>
    <x v="44"/>
    <d v="2025-02-15T00:00:00"/>
    <s v="M"/>
    <x v="3"/>
    <x v="4"/>
    <x v="0"/>
    <x v="43"/>
    <n v="1"/>
    <x v="6"/>
    <x v="1"/>
  </r>
  <r>
    <s v="TX501145"/>
    <x v="8"/>
    <x v="9"/>
    <n v="18.5"/>
    <n v="92.5"/>
    <x v="44"/>
    <d v="2025-02-15T00:00:00"/>
    <s v="F"/>
    <x v="2"/>
    <x v="1"/>
    <x v="0"/>
    <x v="6"/>
    <n v="1"/>
    <x v="6"/>
    <x v="2"/>
  </r>
  <r>
    <s v="TX501146"/>
    <x v="5"/>
    <x v="2"/>
    <n v="25.5"/>
    <n v="76.5"/>
    <x v="44"/>
    <d v="2025-02-16T00:00:00"/>
    <s v="F"/>
    <x v="4"/>
    <x v="1"/>
    <x v="0"/>
    <x v="6"/>
    <n v="2"/>
    <x v="6"/>
    <x v="2"/>
  </r>
  <r>
    <s v="TX501147"/>
    <x v="2"/>
    <x v="1"/>
    <n v="94.7"/>
    <n v="189.4"/>
    <x v="44"/>
    <d v="2025-02-15T00:00:00"/>
    <s v="F"/>
    <x v="2"/>
    <x v="0"/>
    <x v="0"/>
    <x v="36"/>
    <n v="1"/>
    <x v="6"/>
    <x v="2"/>
  </r>
  <r>
    <s v="TX501148"/>
    <x v="1"/>
    <x v="13"/>
    <n v="38.799999999999997"/>
    <n v="232.79999999999998"/>
    <x v="44"/>
    <d v="2025-02-19T00:00:00"/>
    <s v="F"/>
    <x v="2"/>
    <x v="2"/>
    <x v="0"/>
    <x v="8"/>
    <n v="5"/>
    <x v="6"/>
    <x v="2"/>
  </r>
  <r>
    <s v="TX501149"/>
    <x v="9"/>
    <x v="1"/>
    <n v="49.4"/>
    <n v="98.8"/>
    <x v="45"/>
    <d v="2025-02-23T00:00:00"/>
    <s v="M"/>
    <x v="4"/>
    <x v="1"/>
    <x v="0"/>
    <x v="8"/>
    <n v="8"/>
    <x v="6"/>
    <x v="1"/>
  </r>
  <r>
    <s v="TX501150"/>
    <x v="7"/>
    <x v="2"/>
    <n v="68"/>
    <n v="204"/>
    <x v="45"/>
    <d v="2025-02-18T00:00:00"/>
    <s v="M"/>
    <x v="0"/>
    <x v="2"/>
    <x v="0"/>
    <x v="8"/>
    <n v="3"/>
    <x v="6"/>
    <x v="1"/>
  </r>
  <r>
    <s v="TX501151"/>
    <x v="15"/>
    <x v="3"/>
    <n v="63.7"/>
    <n v="445.90000000000003"/>
    <x v="45"/>
    <d v="2025-02-16T00:00:00"/>
    <s v="F"/>
    <x v="2"/>
    <x v="2"/>
    <x v="0"/>
    <x v="8"/>
    <n v="1"/>
    <x v="6"/>
    <x v="2"/>
  </r>
  <r>
    <s v="TX501152"/>
    <x v="10"/>
    <x v="1"/>
    <n v="66.2"/>
    <n v="132.4"/>
    <x v="45"/>
    <d v="2025-02-16T00:00:00"/>
    <s v="F"/>
    <x v="4"/>
    <x v="2"/>
    <x v="0"/>
    <x v="17"/>
    <n v="1"/>
    <x v="6"/>
    <x v="2"/>
  </r>
  <r>
    <s v="TX501153"/>
    <x v="12"/>
    <x v="2"/>
    <n v="32.299999999999997"/>
    <n v="96.899999999999991"/>
    <x v="45"/>
    <d v="2025-02-16T00:00:00"/>
    <s v="O"/>
    <x v="2"/>
    <x v="1"/>
    <x v="0"/>
    <x v="9"/>
    <n v="1"/>
    <x v="6"/>
    <x v="3"/>
  </r>
  <r>
    <s v="TX501154"/>
    <x v="4"/>
    <x v="1"/>
    <n v="66.900000000000006"/>
    <n v="133.80000000000001"/>
    <x v="45"/>
    <d v="2025-02-18T00:00:00"/>
    <s v="M"/>
    <x v="1"/>
    <x v="0"/>
    <x v="0"/>
    <x v="11"/>
    <n v="3"/>
    <x v="6"/>
    <x v="1"/>
  </r>
  <r>
    <s v="TX501155"/>
    <x v="4"/>
    <x v="4"/>
    <n v="25.2"/>
    <n v="302.39999999999998"/>
    <x v="45"/>
    <d v="2025-02-19T00:00:00"/>
    <s v="F"/>
    <x v="0"/>
    <x v="1"/>
    <x v="0"/>
    <x v="11"/>
    <n v="4"/>
    <x v="6"/>
    <x v="2"/>
  </r>
  <r>
    <s v="TX501156"/>
    <x v="10"/>
    <x v="13"/>
    <n v="29.5"/>
    <n v="177"/>
    <x v="45"/>
    <d v="2025-02-16T00:00:00"/>
    <s v="M"/>
    <x v="2"/>
    <x v="0"/>
    <x v="0"/>
    <x v="11"/>
    <n v="1"/>
    <x v="6"/>
    <x v="1"/>
  </r>
  <r>
    <s v="TX501157"/>
    <x v="8"/>
    <x v="9"/>
    <n v="21.6"/>
    <n v="108"/>
    <x v="45"/>
    <d v="2025-02-17T00:00:00"/>
    <s v="F"/>
    <x v="0"/>
    <x v="2"/>
    <x v="0"/>
    <x v="32"/>
    <n v="2"/>
    <x v="6"/>
    <x v="2"/>
  </r>
  <r>
    <s v="TX501158"/>
    <x v="12"/>
    <x v="2"/>
    <n v="69"/>
    <n v="207"/>
    <x v="45"/>
    <d v="2025-02-16T00:00:00"/>
    <s v="F"/>
    <x v="0"/>
    <x v="0"/>
    <x v="0"/>
    <x v="18"/>
    <n v="1"/>
    <x v="6"/>
    <x v="2"/>
  </r>
  <r>
    <s v="TX501159"/>
    <x v="7"/>
    <x v="1"/>
    <n v="115"/>
    <n v="230"/>
    <x v="45"/>
    <d v="2025-02-19T00:00:00"/>
    <s v="M"/>
    <x v="0"/>
    <x v="2"/>
    <x v="0"/>
    <x v="18"/>
    <n v="4"/>
    <x v="6"/>
    <x v="1"/>
  </r>
  <r>
    <s v="TX501160"/>
    <x v="2"/>
    <x v="1"/>
    <n v="109.3"/>
    <n v="218.6"/>
    <x v="45"/>
    <d v="2025-02-17T00:00:00"/>
    <s v=""/>
    <x v="3"/>
    <x v="1"/>
    <x v="0"/>
    <x v="19"/>
    <n v="2"/>
    <x v="6"/>
    <x v="0"/>
  </r>
  <r>
    <s v="TX501161"/>
    <x v="9"/>
    <x v="1"/>
    <n v="66.599999999999994"/>
    <n v="133.19999999999999"/>
    <x v="45"/>
    <d v="2025-02-18T00:00:00"/>
    <s v=""/>
    <x v="4"/>
    <x v="1"/>
    <x v="0"/>
    <x v="19"/>
    <n v="3"/>
    <x v="6"/>
    <x v="0"/>
  </r>
  <r>
    <s v="TX501162"/>
    <x v="12"/>
    <x v="9"/>
    <n v="47.7"/>
    <n v="238.5"/>
    <x v="45"/>
    <d v="2025-02-16T00:00:00"/>
    <s v="M"/>
    <x v="3"/>
    <x v="2"/>
    <x v="0"/>
    <x v="21"/>
    <n v="1"/>
    <x v="6"/>
    <x v="1"/>
  </r>
  <r>
    <s v="TX501163"/>
    <x v="8"/>
    <x v="1"/>
    <n v="46"/>
    <n v="92"/>
    <x v="45"/>
    <d v="2025-02-16T00:00:00"/>
    <s v="F"/>
    <x v="4"/>
    <x v="4"/>
    <x v="0"/>
    <x v="22"/>
    <n v="1"/>
    <x v="6"/>
    <x v="2"/>
  </r>
  <r>
    <s v="TX501164"/>
    <x v="1"/>
    <x v="13"/>
    <n v="39.299999999999997"/>
    <n v="235.79999999999998"/>
    <x v="45"/>
    <d v="2025-02-17T00:00:00"/>
    <s v="M"/>
    <x v="3"/>
    <x v="2"/>
    <x v="0"/>
    <x v="3"/>
    <n v="2"/>
    <x v="6"/>
    <x v="1"/>
  </r>
  <r>
    <s v="TX501165"/>
    <x v="9"/>
    <x v="0"/>
    <n v="70.2"/>
    <n v="70.2"/>
    <x v="45"/>
    <d v="2025-02-16T00:00:00"/>
    <s v="F"/>
    <x v="0"/>
    <x v="4"/>
    <x v="0"/>
    <x v="3"/>
    <n v="1"/>
    <x v="6"/>
    <x v="2"/>
  </r>
  <r>
    <s v="TX501166"/>
    <x v="3"/>
    <x v="12"/>
    <n v="71.5"/>
    <n v="286"/>
    <x v="45"/>
    <d v="2025-02-15T00:00:00"/>
    <s v="F"/>
    <x v="1"/>
    <x v="2"/>
    <x v="0"/>
    <x v="3"/>
    <n v="0"/>
    <x v="6"/>
    <x v="2"/>
  </r>
  <r>
    <s v="TX501167"/>
    <x v="10"/>
    <x v="3"/>
    <n v="31"/>
    <n v="217"/>
    <x v="45"/>
    <d v="2025-02-22T00:00:00"/>
    <s v="F"/>
    <x v="3"/>
    <x v="2"/>
    <x v="0"/>
    <x v="3"/>
    <n v="7"/>
    <x v="6"/>
    <x v="2"/>
  </r>
  <r>
    <s v="TX501168"/>
    <x v="2"/>
    <x v="9"/>
    <n v="68.2"/>
    <n v="341"/>
    <x v="45"/>
    <d v="2025-02-20T00:00:00"/>
    <s v="F"/>
    <x v="0"/>
    <x v="2"/>
    <x v="0"/>
    <x v="3"/>
    <n v="5"/>
    <x v="6"/>
    <x v="2"/>
  </r>
  <r>
    <s v="TX501169"/>
    <x v="2"/>
    <x v="0"/>
    <n v="91.4"/>
    <n v="91.4"/>
    <x v="45"/>
    <d v="2025-02-19T00:00:00"/>
    <s v="F"/>
    <x v="1"/>
    <x v="2"/>
    <x v="0"/>
    <x v="6"/>
    <n v="4"/>
    <x v="6"/>
    <x v="2"/>
  </r>
  <r>
    <s v="TX501170"/>
    <x v="6"/>
    <x v="7"/>
    <n v="112.9"/>
    <n v="1129"/>
    <x v="45"/>
    <d v="2025-02-16T00:00:00"/>
    <s v="F"/>
    <x v="0"/>
    <x v="0"/>
    <x v="0"/>
    <x v="6"/>
    <n v="1"/>
    <x v="6"/>
    <x v="2"/>
  </r>
  <r>
    <s v="TX501171"/>
    <x v="17"/>
    <x v="11"/>
    <n v="33.700000000000003"/>
    <n v="303.3"/>
    <x v="45"/>
    <d v="2025-02-16T00:00:00"/>
    <s v="F"/>
    <x v="1"/>
    <x v="2"/>
    <x v="0"/>
    <x v="8"/>
    <n v="1"/>
    <x v="6"/>
    <x v="2"/>
  </r>
  <r>
    <s v="TX501172"/>
    <x v="15"/>
    <x v="7"/>
    <n v="35.299999999999997"/>
    <n v="353"/>
    <x v="45"/>
    <d v="2025-02-17T00:00:00"/>
    <s v="M"/>
    <x v="2"/>
    <x v="0"/>
    <x v="0"/>
    <x v="8"/>
    <n v="2"/>
    <x v="6"/>
    <x v="1"/>
  </r>
  <r>
    <s v="TX501173"/>
    <x v="18"/>
    <x v="2"/>
    <n v="45.6"/>
    <n v="136.80000000000001"/>
    <x v="45"/>
    <d v="2025-02-19T00:00:00"/>
    <s v="M"/>
    <x v="3"/>
    <x v="0"/>
    <x v="0"/>
    <x v="8"/>
    <n v="4"/>
    <x v="6"/>
    <x v="1"/>
  </r>
  <r>
    <s v="TX501174"/>
    <x v="7"/>
    <x v="3"/>
    <n v="47.1"/>
    <n v="329.7"/>
    <x v="45"/>
    <d v="2025-02-16T00:00:00"/>
    <s v="F"/>
    <x v="4"/>
    <x v="2"/>
    <x v="0"/>
    <x v="9"/>
    <n v="1"/>
    <x v="6"/>
    <x v="2"/>
  </r>
  <r>
    <s v="TX501175"/>
    <x v="8"/>
    <x v="9"/>
    <n v="16.2"/>
    <n v="81"/>
    <x v="45"/>
    <d v="2025-02-17T00:00:00"/>
    <s v="F"/>
    <x v="3"/>
    <x v="2"/>
    <x v="0"/>
    <x v="19"/>
    <n v="2"/>
    <x v="6"/>
    <x v="2"/>
  </r>
  <r>
    <s v="TX501176"/>
    <x v="1"/>
    <x v="1"/>
    <n v="159.69999999999999"/>
    <n v="319.39999999999998"/>
    <x v="46"/>
    <d v="2025-02-17T00:00:00"/>
    <s v="M"/>
    <x v="4"/>
    <x v="0"/>
    <x v="0"/>
    <x v="13"/>
    <n v="1"/>
    <x v="7"/>
    <x v="1"/>
  </r>
  <r>
    <s v="TX501177"/>
    <x v="8"/>
    <x v="12"/>
    <n v="19"/>
    <n v="76"/>
    <x v="46"/>
    <d v="2025-02-23T00:00:00"/>
    <s v="F"/>
    <x v="2"/>
    <x v="2"/>
    <x v="0"/>
    <x v="21"/>
    <n v="7"/>
    <x v="7"/>
    <x v="2"/>
  </r>
  <r>
    <s v="TX501178"/>
    <x v="6"/>
    <x v="13"/>
    <n v="91.1"/>
    <n v="546.59999999999991"/>
    <x v="46"/>
    <d v="2025-02-25T00:00:00"/>
    <s v="F"/>
    <x v="4"/>
    <x v="0"/>
    <x v="0"/>
    <x v="21"/>
    <n v="9"/>
    <x v="7"/>
    <x v="2"/>
  </r>
  <r>
    <s v="TX501179"/>
    <x v="2"/>
    <x v="9"/>
    <n v="94.1"/>
    <n v="470.5"/>
    <x v="46"/>
    <d v="2025-02-19T00:00:00"/>
    <s v=""/>
    <x v="1"/>
    <x v="1"/>
    <x v="0"/>
    <x v="21"/>
    <n v="3"/>
    <x v="7"/>
    <x v="0"/>
  </r>
  <r>
    <s v="TX501180"/>
    <x v="9"/>
    <x v="11"/>
    <n v="21.1"/>
    <n v="189.9"/>
    <x v="46"/>
    <d v="2025-02-17T00:00:00"/>
    <s v="F"/>
    <x v="4"/>
    <x v="2"/>
    <x v="0"/>
    <x v="51"/>
    <n v="1"/>
    <x v="7"/>
    <x v="2"/>
  </r>
  <r>
    <s v="TX501181"/>
    <x v="8"/>
    <x v="3"/>
    <n v="15.3"/>
    <n v="107.10000000000001"/>
    <x v="46"/>
    <d v="2025-02-24T00:00:00"/>
    <s v="F"/>
    <x v="2"/>
    <x v="0"/>
    <x v="0"/>
    <x v="1"/>
    <n v="8"/>
    <x v="7"/>
    <x v="2"/>
  </r>
  <r>
    <s v="TX501182"/>
    <x v="15"/>
    <x v="12"/>
    <n v="21.3"/>
    <n v="85.2"/>
    <x v="46"/>
    <d v="2025-02-19T00:00:00"/>
    <s v="M"/>
    <x v="1"/>
    <x v="0"/>
    <x v="0"/>
    <x v="3"/>
    <n v="3"/>
    <x v="7"/>
    <x v="1"/>
  </r>
  <r>
    <s v="TX501183"/>
    <x v="0"/>
    <x v="1"/>
    <n v="23.2"/>
    <n v="46.4"/>
    <x v="46"/>
    <d v="2025-02-16T00:00:00"/>
    <s v=""/>
    <x v="3"/>
    <x v="1"/>
    <x v="0"/>
    <x v="3"/>
    <n v="0"/>
    <x v="7"/>
    <x v="0"/>
  </r>
  <r>
    <s v="TX501184"/>
    <x v="4"/>
    <x v="2"/>
    <n v="25.7"/>
    <n v="77.099999999999994"/>
    <x v="46"/>
    <d v="2025-02-17T00:00:00"/>
    <s v="M"/>
    <x v="4"/>
    <x v="0"/>
    <x v="0"/>
    <x v="3"/>
    <n v="1"/>
    <x v="7"/>
    <x v="1"/>
  </r>
  <r>
    <s v="TX501185"/>
    <x v="0"/>
    <x v="11"/>
    <n v="31.6"/>
    <n v="284.40000000000003"/>
    <x v="46"/>
    <d v="2025-02-18T00:00:00"/>
    <s v="F"/>
    <x v="0"/>
    <x v="0"/>
    <x v="0"/>
    <x v="3"/>
    <n v="2"/>
    <x v="7"/>
    <x v="2"/>
  </r>
  <r>
    <s v="TX501186"/>
    <x v="6"/>
    <x v="0"/>
    <n v="64.2"/>
    <n v="64.2"/>
    <x v="46"/>
    <d v="2025-02-21T00:00:00"/>
    <s v="M"/>
    <x v="0"/>
    <x v="0"/>
    <x v="0"/>
    <x v="3"/>
    <n v="5"/>
    <x v="7"/>
    <x v="1"/>
  </r>
  <r>
    <s v="TX501187"/>
    <x v="8"/>
    <x v="1"/>
    <n v="55.8"/>
    <n v="111.6"/>
    <x v="46"/>
    <d v="2025-02-18T00:00:00"/>
    <s v=""/>
    <x v="0"/>
    <x v="0"/>
    <x v="0"/>
    <x v="3"/>
    <n v="2"/>
    <x v="7"/>
    <x v="0"/>
  </r>
  <r>
    <s v="TX501188"/>
    <x v="8"/>
    <x v="1"/>
    <n v="28.1"/>
    <n v="56.2"/>
    <x v="46"/>
    <d v="2025-02-17T00:00:00"/>
    <s v="F"/>
    <x v="4"/>
    <x v="1"/>
    <x v="0"/>
    <x v="3"/>
    <n v="1"/>
    <x v="7"/>
    <x v="2"/>
  </r>
  <r>
    <s v="TX501189"/>
    <x v="0"/>
    <x v="1"/>
    <n v="11.6"/>
    <n v="23.2"/>
    <x v="46"/>
    <d v="2025-02-18T00:00:00"/>
    <s v="F"/>
    <x v="1"/>
    <x v="0"/>
    <x v="0"/>
    <x v="24"/>
    <n v="2"/>
    <x v="7"/>
    <x v="2"/>
  </r>
  <r>
    <s v="TX501190"/>
    <x v="5"/>
    <x v="2"/>
    <n v="50.4"/>
    <n v="151.19999999999999"/>
    <x v="46"/>
    <d v="2025-02-17T00:00:00"/>
    <s v="M"/>
    <x v="4"/>
    <x v="2"/>
    <x v="0"/>
    <x v="25"/>
    <n v="1"/>
    <x v="7"/>
    <x v="1"/>
  </r>
  <r>
    <s v="TX501191"/>
    <x v="6"/>
    <x v="13"/>
    <n v="48.3"/>
    <n v="289.79999999999995"/>
    <x v="46"/>
    <d v="2025-02-20T00:00:00"/>
    <s v="F"/>
    <x v="0"/>
    <x v="0"/>
    <x v="0"/>
    <x v="25"/>
    <n v="4"/>
    <x v="7"/>
    <x v="2"/>
  </r>
  <r>
    <s v="TX501192"/>
    <x v="17"/>
    <x v="3"/>
    <n v="32.200000000000003"/>
    <n v="225.40000000000003"/>
    <x v="46"/>
    <d v="2025-02-18T00:00:00"/>
    <s v="F"/>
    <x v="2"/>
    <x v="0"/>
    <x v="0"/>
    <x v="25"/>
    <n v="2"/>
    <x v="7"/>
    <x v="2"/>
  </r>
  <r>
    <s v="TX501193"/>
    <x v="7"/>
    <x v="31"/>
    <n v="48.5"/>
    <n v="1358"/>
    <x v="46"/>
    <d v="2025-02-17T00:00:00"/>
    <s v="M"/>
    <x v="0"/>
    <x v="0"/>
    <x v="0"/>
    <x v="5"/>
    <n v="1"/>
    <x v="7"/>
    <x v="1"/>
  </r>
  <r>
    <s v="TX501194"/>
    <x v="2"/>
    <x v="9"/>
    <n v="62"/>
    <n v="310"/>
    <x v="46"/>
    <d v="2025-02-19T00:00:00"/>
    <s v="F"/>
    <x v="1"/>
    <x v="0"/>
    <x v="0"/>
    <x v="6"/>
    <n v="3"/>
    <x v="7"/>
    <x v="2"/>
  </r>
  <r>
    <s v="TX501195"/>
    <x v="8"/>
    <x v="2"/>
    <n v="32.1"/>
    <n v="96.300000000000011"/>
    <x v="47"/>
    <d v="2025-02-19T00:00:00"/>
    <s v="M"/>
    <x v="0"/>
    <x v="0"/>
    <x v="0"/>
    <x v="6"/>
    <n v="2"/>
    <x v="7"/>
    <x v="1"/>
  </r>
  <r>
    <s v="TX501196"/>
    <x v="12"/>
    <x v="2"/>
    <n v="106.1"/>
    <n v="318.29999999999995"/>
    <x v="47"/>
    <d v="2025-02-19T00:00:00"/>
    <s v="M"/>
    <x v="0"/>
    <x v="1"/>
    <x v="0"/>
    <x v="7"/>
    <n v="2"/>
    <x v="7"/>
    <x v="1"/>
  </r>
  <r>
    <s v="TX501197"/>
    <x v="10"/>
    <x v="2"/>
    <n v="23.5"/>
    <n v="70.5"/>
    <x v="47"/>
    <d v="2025-02-20T00:00:00"/>
    <s v="M"/>
    <x v="0"/>
    <x v="4"/>
    <x v="0"/>
    <x v="7"/>
    <n v="3"/>
    <x v="7"/>
    <x v="1"/>
  </r>
  <r>
    <s v="TX501198"/>
    <x v="1"/>
    <x v="1"/>
    <n v="35.6"/>
    <n v="71.2"/>
    <x v="47"/>
    <d v="2025-02-22T00:00:00"/>
    <s v="M"/>
    <x v="4"/>
    <x v="0"/>
    <x v="0"/>
    <x v="8"/>
    <n v="5"/>
    <x v="7"/>
    <x v="1"/>
  </r>
  <r>
    <s v="TX501199"/>
    <x v="1"/>
    <x v="1"/>
    <n v="63.5"/>
    <n v="127"/>
    <x v="47"/>
    <d v="2025-02-17T00:00:00"/>
    <s v="F"/>
    <x v="1"/>
    <x v="2"/>
    <x v="0"/>
    <x v="8"/>
    <n v="0"/>
    <x v="7"/>
    <x v="2"/>
  </r>
  <r>
    <s v="TX501200"/>
    <x v="6"/>
    <x v="3"/>
    <n v="82.9"/>
    <n v="580.30000000000007"/>
    <x v="47"/>
    <d v="2025-02-22T00:00:00"/>
    <s v="F"/>
    <x v="4"/>
    <x v="0"/>
    <x v="0"/>
    <x v="9"/>
    <n v="5"/>
    <x v="7"/>
    <x v="2"/>
  </r>
  <r>
    <s v="TX501201"/>
    <x v="6"/>
    <x v="1"/>
    <n v="83.6"/>
    <n v="167.2"/>
    <x v="47"/>
    <d v="2025-02-22T00:00:00"/>
    <s v="F"/>
    <x v="0"/>
    <x v="0"/>
    <x v="0"/>
    <x v="11"/>
    <n v="5"/>
    <x v="7"/>
    <x v="2"/>
  </r>
  <r>
    <s v="TX501202"/>
    <x v="4"/>
    <x v="1"/>
    <n v="29.4"/>
    <n v="58.8"/>
    <x v="47"/>
    <d v="2025-02-17T00:00:00"/>
    <s v="F"/>
    <x v="0"/>
    <x v="1"/>
    <x v="0"/>
    <x v="30"/>
    <n v="0"/>
    <x v="7"/>
    <x v="2"/>
  </r>
  <r>
    <s v="TX501203"/>
    <x v="2"/>
    <x v="2"/>
    <n v="107.1"/>
    <n v="321.29999999999995"/>
    <x v="47"/>
    <d v="2025-02-21T00:00:00"/>
    <s v="F"/>
    <x v="2"/>
    <x v="0"/>
    <x v="0"/>
    <x v="20"/>
    <n v="4"/>
    <x v="7"/>
    <x v="2"/>
  </r>
  <r>
    <s v="TX501204"/>
    <x v="2"/>
    <x v="0"/>
    <n v="62.7"/>
    <n v="62.7"/>
    <x v="47"/>
    <d v="2025-02-21T00:00:00"/>
    <s v="M"/>
    <x v="1"/>
    <x v="0"/>
    <x v="0"/>
    <x v="21"/>
    <n v="4"/>
    <x v="7"/>
    <x v="1"/>
  </r>
  <r>
    <s v="TX501205"/>
    <x v="11"/>
    <x v="0"/>
    <n v="41.6"/>
    <n v="41.6"/>
    <x v="47"/>
    <d v="2025-02-18T00:00:00"/>
    <s v="M"/>
    <x v="0"/>
    <x v="1"/>
    <x v="0"/>
    <x v="1"/>
    <n v="1"/>
    <x v="7"/>
    <x v="1"/>
  </r>
  <r>
    <s v="TX501206"/>
    <x v="6"/>
    <x v="0"/>
    <n v="44.2"/>
    <n v="44.2"/>
    <x v="47"/>
    <d v="2025-02-18T00:00:00"/>
    <s v="O"/>
    <x v="0"/>
    <x v="1"/>
    <x v="0"/>
    <x v="1"/>
    <n v="1"/>
    <x v="7"/>
    <x v="3"/>
  </r>
  <r>
    <s v="TX501207"/>
    <x v="4"/>
    <x v="13"/>
    <n v="40.4"/>
    <n v="242.39999999999998"/>
    <x v="47"/>
    <d v="2025-03-02T00:00:00"/>
    <s v="F"/>
    <x v="2"/>
    <x v="0"/>
    <x v="0"/>
    <x v="22"/>
    <n v="13"/>
    <x v="7"/>
    <x v="2"/>
  </r>
  <r>
    <s v="TX501208"/>
    <x v="15"/>
    <x v="13"/>
    <n v="59.6"/>
    <n v="357.6"/>
    <x v="47"/>
    <d v="2025-02-18T00:00:00"/>
    <s v="F"/>
    <x v="4"/>
    <x v="0"/>
    <x v="0"/>
    <x v="34"/>
    <n v="1"/>
    <x v="7"/>
    <x v="2"/>
  </r>
  <r>
    <s v="TX501209"/>
    <x v="17"/>
    <x v="4"/>
    <n v="63.8"/>
    <n v="765.59999999999991"/>
    <x v="47"/>
    <d v="2025-02-18T00:00:00"/>
    <s v="M"/>
    <x v="1"/>
    <x v="0"/>
    <x v="0"/>
    <x v="3"/>
    <n v="1"/>
    <x v="7"/>
    <x v="1"/>
  </r>
  <r>
    <s v="TX501210"/>
    <x v="9"/>
    <x v="13"/>
    <n v="30.8"/>
    <n v="184.8"/>
    <x v="47"/>
    <d v="2025-02-19T00:00:00"/>
    <s v="M"/>
    <x v="4"/>
    <x v="0"/>
    <x v="0"/>
    <x v="3"/>
    <n v="2"/>
    <x v="7"/>
    <x v="1"/>
  </r>
  <r>
    <s v="TX501211"/>
    <x v="1"/>
    <x v="1"/>
    <n v="41.5"/>
    <n v="83"/>
    <x v="47"/>
    <d v="2025-02-20T00:00:00"/>
    <s v="O"/>
    <x v="0"/>
    <x v="0"/>
    <x v="0"/>
    <x v="3"/>
    <n v="3"/>
    <x v="7"/>
    <x v="3"/>
  </r>
  <r>
    <s v="TX501212"/>
    <x v="10"/>
    <x v="12"/>
    <n v="44.7"/>
    <n v="178.8"/>
    <x v="47"/>
    <d v="2025-02-19T00:00:00"/>
    <s v="F"/>
    <x v="2"/>
    <x v="1"/>
    <x v="0"/>
    <x v="3"/>
    <n v="2"/>
    <x v="7"/>
    <x v="2"/>
  </r>
  <r>
    <s v="TX501213"/>
    <x v="12"/>
    <x v="1"/>
    <n v="64.099999999999994"/>
    <n v="128.19999999999999"/>
    <x v="47"/>
    <d v="2025-02-21T00:00:00"/>
    <s v="F"/>
    <x v="1"/>
    <x v="4"/>
    <x v="0"/>
    <x v="3"/>
    <n v="4"/>
    <x v="7"/>
    <x v="2"/>
  </r>
  <r>
    <s v="TX501214"/>
    <x v="8"/>
    <x v="0"/>
    <n v="15.9"/>
    <n v="15.9"/>
    <x v="47"/>
    <d v="2025-02-20T00:00:00"/>
    <s v=""/>
    <x v="1"/>
    <x v="0"/>
    <x v="0"/>
    <x v="3"/>
    <n v="3"/>
    <x v="7"/>
    <x v="0"/>
  </r>
  <r>
    <s v="TX501215"/>
    <x v="6"/>
    <x v="1"/>
    <n v="78.7"/>
    <n v="157.4"/>
    <x v="47"/>
    <d v="2025-02-17T00:00:00"/>
    <s v="F"/>
    <x v="2"/>
    <x v="1"/>
    <x v="0"/>
    <x v="3"/>
    <n v="0"/>
    <x v="7"/>
    <x v="2"/>
  </r>
  <r>
    <s v="TX501216"/>
    <x v="5"/>
    <x v="4"/>
    <n v="29.6"/>
    <n v="355.20000000000005"/>
    <x v="47"/>
    <d v="2025-02-21T00:00:00"/>
    <s v="M"/>
    <x v="2"/>
    <x v="4"/>
    <x v="0"/>
    <x v="3"/>
    <n v="4"/>
    <x v="7"/>
    <x v="1"/>
  </r>
  <r>
    <s v="TX501217"/>
    <x v="8"/>
    <x v="12"/>
    <n v="21.5"/>
    <n v="86"/>
    <x v="47"/>
    <d v="2025-02-20T00:00:00"/>
    <s v="M"/>
    <x v="1"/>
    <x v="0"/>
    <x v="0"/>
    <x v="3"/>
    <n v="3"/>
    <x v="7"/>
    <x v="1"/>
  </r>
  <r>
    <s v="TX501218"/>
    <x v="9"/>
    <x v="2"/>
    <n v="74.900000000000006"/>
    <n v="224.70000000000002"/>
    <x v="47"/>
    <d v="2025-02-26T00:00:00"/>
    <s v="M"/>
    <x v="3"/>
    <x v="1"/>
    <x v="0"/>
    <x v="3"/>
    <n v="9"/>
    <x v="7"/>
    <x v="1"/>
  </r>
  <r>
    <s v="TX501219"/>
    <x v="10"/>
    <x v="13"/>
    <n v="45"/>
    <n v="270"/>
    <x v="47"/>
    <d v="2025-02-22T00:00:00"/>
    <s v="F"/>
    <x v="2"/>
    <x v="0"/>
    <x v="0"/>
    <x v="3"/>
    <n v="5"/>
    <x v="7"/>
    <x v="2"/>
  </r>
  <r>
    <s v="TX501220"/>
    <x v="7"/>
    <x v="33"/>
    <n v="37.9"/>
    <n v="1288.5999999999999"/>
    <x v="47"/>
    <d v="2025-02-18T00:00:00"/>
    <s v="M"/>
    <x v="0"/>
    <x v="0"/>
    <x v="0"/>
    <x v="3"/>
    <n v="1"/>
    <x v="7"/>
    <x v="1"/>
  </r>
  <r>
    <s v="TX501221"/>
    <x v="6"/>
    <x v="2"/>
    <n v="56.6"/>
    <n v="169.8"/>
    <x v="47"/>
    <d v="2025-02-18T00:00:00"/>
    <s v="M"/>
    <x v="3"/>
    <x v="0"/>
    <x v="0"/>
    <x v="3"/>
    <n v="1"/>
    <x v="7"/>
    <x v="1"/>
  </r>
  <r>
    <s v="TX501222"/>
    <x v="3"/>
    <x v="15"/>
    <n v="84.5"/>
    <n v="1098.5"/>
    <x v="47"/>
    <d v="2025-02-20T00:00:00"/>
    <s v="F"/>
    <x v="1"/>
    <x v="4"/>
    <x v="0"/>
    <x v="3"/>
    <n v="3"/>
    <x v="7"/>
    <x v="2"/>
  </r>
  <r>
    <s v="TX501223"/>
    <x v="2"/>
    <x v="9"/>
    <n v="105.4"/>
    <n v="527"/>
    <x v="47"/>
    <d v="2025-02-19T00:00:00"/>
    <s v="F"/>
    <x v="1"/>
    <x v="1"/>
    <x v="0"/>
    <x v="3"/>
    <n v="2"/>
    <x v="7"/>
    <x v="2"/>
  </r>
  <r>
    <s v="TX501224"/>
    <x v="18"/>
    <x v="3"/>
    <n v="39.4"/>
    <n v="275.8"/>
    <x v="48"/>
    <d v="2025-02-18T00:00:00"/>
    <s v="M"/>
    <x v="1"/>
    <x v="0"/>
    <x v="0"/>
    <x v="37"/>
    <n v="0"/>
    <x v="7"/>
    <x v="1"/>
  </r>
  <r>
    <s v="TX501225"/>
    <x v="19"/>
    <x v="2"/>
    <n v="38"/>
    <n v="114"/>
    <x v="48"/>
    <d v="2025-02-21T00:00:00"/>
    <s v="M"/>
    <x v="4"/>
    <x v="1"/>
    <x v="0"/>
    <x v="6"/>
    <n v="3"/>
    <x v="7"/>
    <x v="1"/>
  </r>
  <r>
    <s v="TX501226"/>
    <x v="17"/>
    <x v="12"/>
    <n v="42.5"/>
    <n v="170"/>
    <x v="48"/>
    <d v="2025-02-20T00:00:00"/>
    <s v=""/>
    <x v="0"/>
    <x v="0"/>
    <x v="0"/>
    <x v="6"/>
    <n v="2"/>
    <x v="7"/>
    <x v="0"/>
  </r>
  <r>
    <s v="TX501227"/>
    <x v="15"/>
    <x v="0"/>
    <n v="62.3"/>
    <n v="62.3"/>
    <x v="48"/>
    <d v="2025-02-27T00:00:00"/>
    <s v="M"/>
    <x v="0"/>
    <x v="2"/>
    <x v="0"/>
    <x v="6"/>
    <n v="9"/>
    <x v="7"/>
    <x v="1"/>
  </r>
  <r>
    <s v="TX501228"/>
    <x v="6"/>
    <x v="9"/>
    <n v="49.1"/>
    <n v="245.5"/>
    <x v="48"/>
    <d v="2025-02-20T00:00:00"/>
    <s v="F"/>
    <x v="1"/>
    <x v="2"/>
    <x v="0"/>
    <x v="7"/>
    <n v="2"/>
    <x v="7"/>
    <x v="2"/>
  </r>
  <r>
    <s v="TX501229"/>
    <x v="3"/>
    <x v="1"/>
    <n v="30.5"/>
    <n v="61"/>
    <x v="48"/>
    <d v="2025-02-21T00:00:00"/>
    <s v="M"/>
    <x v="0"/>
    <x v="2"/>
    <x v="0"/>
    <x v="8"/>
    <n v="3"/>
    <x v="7"/>
    <x v="1"/>
  </r>
  <r>
    <s v="TX501230"/>
    <x v="2"/>
    <x v="1"/>
    <n v="154.80000000000001"/>
    <n v="309.60000000000002"/>
    <x v="48"/>
    <d v="2025-02-21T00:00:00"/>
    <s v="F"/>
    <x v="1"/>
    <x v="4"/>
    <x v="0"/>
    <x v="8"/>
    <n v="3"/>
    <x v="7"/>
    <x v="2"/>
  </r>
  <r>
    <s v="TX501231"/>
    <x v="6"/>
    <x v="0"/>
    <n v="45"/>
    <n v="45"/>
    <x v="48"/>
    <d v="2025-02-22T00:00:00"/>
    <s v="M"/>
    <x v="3"/>
    <x v="1"/>
    <x v="0"/>
    <x v="8"/>
    <n v="4"/>
    <x v="7"/>
    <x v="1"/>
  </r>
  <r>
    <s v="TX501232"/>
    <x v="0"/>
    <x v="3"/>
    <n v="15.3"/>
    <n v="107.10000000000001"/>
    <x v="48"/>
    <d v="2025-02-19T00:00:00"/>
    <s v="M"/>
    <x v="0"/>
    <x v="2"/>
    <x v="0"/>
    <x v="8"/>
    <n v="1"/>
    <x v="7"/>
    <x v="1"/>
  </r>
  <r>
    <s v="TX501233"/>
    <x v="2"/>
    <x v="5"/>
    <n v="88.6"/>
    <n v="974.59999999999991"/>
    <x v="48"/>
    <d v="2025-02-21T00:00:00"/>
    <s v="F"/>
    <x v="0"/>
    <x v="4"/>
    <x v="0"/>
    <x v="17"/>
    <n v="3"/>
    <x v="7"/>
    <x v="2"/>
  </r>
  <r>
    <s v="TX501234"/>
    <x v="9"/>
    <x v="1"/>
    <n v="49.7"/>
    <n v="99.4"/>
    <x v="48"/>
    <d v="2025-02-20T00:00:00"/>
    <s v="O"/>
    <x v="4"/>
    <x v="0"/>
    <x v="0"/>
    <x v="10"/>
    <n v="2"/>
    <x v="7"/>
    <x v="3"/>
  </r>
  <r>
    <s v="TX501235"/>
    <x v="10"/>
    <x v="0"/>
    <n v="29"/>
    <n v="29"/>
    <x v="48"/>
    <d v="2025-02-19T00:00:00"/>
    <s v="M"/>
    <x v="0"/>
    <x v="0"/>
    <x v="0"/>
    <x v="11"/>
    <n v="1"/>
    <x v="7"/>
    <x v="1"/>
  </r>
  <r>
    <s v="TX501236"/>
    <x v="1"/>
    <x v="0"/>
    <n v="60.7"/>
    <n v="60.7"/>
    <x v="48"/>
    <d v="2025-02-19T00:00:00"/>
    <s v="O"/>
    <x v="0"/>
    <x v="1"/>
    <x v="0"/>
    <x v="11"/>
    <n v="1"/>
    <x v="7"/>
    <x v="3"/>
  </r>
  <r>
    <s v="TX501237"/>
    <x v="17"/>
    <x v="12"/>
    <n v="87.4"/>
    <n v="349.6"/>
    <x v="48"/>
    <d v="2025-02-20T00:00:00"/>
    <s v=""/>
    <x v="0"/>
    <x v="0"/>
    <x v="0"/>
    <x v="11"/>
    <n v="2"/>
    <x v="7"/>
    <x v="0"/>
  </r>
  <r>
    <s v="TX501238"/>
    <x v="4"/>
    <x v="3"/>
    <n v="44.5"/>
    <n v="311.5"/>
    <x v="48"/>
    <d v="2025-02-22T00:00:00"/>
    <s v="F"/>
    <x v="2"/>
    <x v="2"/>
    <x v="0"/>
    <x v="19"/>
    <n v="4"/>
    <x v="7"/>
    <x v="2"/>
  </r>
  <r>
    <s v="TX501239"/>
    <x v="2"/>
    <x v="0"/>
    <n v="141"/>
    <n v="141"/>
    <x v="48"/>
    <d v="2025-02-19T00:00:00"/>
    <s v="M"/>
    <x v="4"/>
    <x v="2"/>
    <x v="0"/>
    <x v="19"/>
    <n v="1"/>
    <x v="7"/>
    <x v="1"/>
  </r>
  <r>
    <s v="TX501240"/>
    <x v="0"/>
    <x v="2"/>
    <n v="16.7"/>
    <n v="50.099999999999994"/>
    <x v="48"/>
    <d v="2025-02-26T00:00:00"/>
    <s v="F"/>
    <x v="0"/>
    <x v="0"/>
    <x v="0"/>
    <x v="20"/>
    <n v="8"/>
    <x v="7"/>
    <x v="2"/>
  </r>
  <r>
    <s v="TX501241"/>
    <x v="1"/>
    <x v="1"/>
    <n v="77.5"/>
    <n v="155"/>
    <x v="48"/>
    <d v="2025-02-19T00:00:00"/>
    <s v=""/>
    <x v="2"/>
    <x v="2"/>
    <x v="0"/>
    <x v="13"/>
    <n v="1"/>
    <x v="7"/>
    <x v="0"/>
  </r>
  <r>
    <s v="TX501242"/>
    <x v="2"/>
    <x v="1"/>
    <n v="163"/>
    <n v="326"/>
    <x v="48"/>
    <d v="2025-02-24T00:00:00"/>
    <s v="F"/>
    <x v="4"/>
    <x v="0"/>
    <x v="0"/>
    <x v="21"/>
    <n v="6"/>
    <x v="7"/>
    <x v="2"/>
  </r>
  <r>
    <s v="TX501243"/>
    <x v="4"/>
    <x v="11"/>
    <n v="21.4"/>
    <n v="192.6"/>
    <x v="48"/>
    <d v="2025-02-21T00:00:00"/>
    <s v="F"/>
    <x v="0"/>
    <x v="0"/>
    <x v="0"/>
    <x v="51"/>
    <n v="3"/>
    <x v="7"/>
    <x v="2"/>
  </r>
  <r>
    <s v="TX501244"/>
    <x v="10"/>
    <x v="5"/>
    <n v="31"/>
    <n v="341"/>
    <x v="48"/>
    <d v="2025-02-20T00:00:00"/>
    <s v="F"/>
    <x v="3"/>
    <x v="2"/>
    <x v="0"/>
    <x v="1"/>
    <n v="2"/>
    <x v="7"/>
    <x v="2"/>
  </r>
  <r>
    <s v="TX501245"/>
    <x v="7"/>
    <x v="1"/>
    <n v="34.299999999999997"/>
    <n v="68.599999999999994"/>
    <x v="48"/>
    <d v="2025-02-20T00:00:00"/>
    <s v="F"/>
    <x v="0"/>
    <x v="3"/>
    <x v="0"/>
    <x v="1"/>
    <n v="2"/>
    <x v="7"/>
    <x v="2"/>
  </r>
  <r>
    <s v="TX501246"/>
    <x v="17"/>
    <x v="9"/>
    <n v="48.2"/>
    <n v="241"/>
    <x v="48"/>
    <d v="2025-02-19T00:00:00"/>
    <s v="M"/>
    <x v="1"/>
    <x v="1"/>
    <x v="0"/>
    <x v="2"/>
    <n v="1"/>
    <x v="7"/>
    <x v="1"/>
  </r>
  <r>
    <s v="TX501247"/>
    <x v="10"/>
    <x v="0"/>
    <n v="51.4"/>
    <n v="51.4"/>
    <x v="48"/>
    <d v="2025-02-19T00:00:00"/>
    <s v="M"/>
    <x v="0"/>
    <x v="0"/>
    <x v="0"/>
    <x v="3"/>
    <n v="1"/>
    <x v="7"/>
    <x v="1"/>
  </r>
  <r>
    <s v="TX501248"/>
    <x v="2"/>
    <x v="9"/>
    <n v="117.2"/>
    <n v="586"/>
    <x v="48"/>
    <d v="2025-02-21T00:00:00"/>
    <s v="F"/>
    <x v="4"/>
    <x v="4"/>
    <x v="0"/>
    <x v="3"/>
    <n v="3"/>
    <x v="7"/>
    <x v="2"/>
  </r>
  <r>
    <s v="TX501249"/>
    <x v="8"/>
    <x v="0"/>
    <n v="38.1"/>
    <n v="38.1"/>
    <x v="48"/>
    <d v="2025-02-18T00:00:00"/>
    <s v="M"/>
    <x v="4"/>
    <x v="1"/>
    <x v="0"/>
    <x v="3"/>
    <n v="0"/>
    <x v="7"/>
    <x v="1"/>
  </r>
  <r>
    <s v="TX501250"/>
    <x v="0"/>
    <x v="1"/>
    <n v="44.1"/>
    <n v="88.2"/>
    <x v="48"/>
    <d v="2025-02-20T00:00:00"/>
    <s v="F"/>
    <x v="2"/>
    <x v="0"/>
    <x v="0"/>
    <x v="3"/>
    <n v="2"/>
    <x v="7"/>
    <x v="2"/>
  </r>
  <r>
    <s v="TX501251"/>
    <x v="15"/>
    <x v="12"/>
    <n v="80.5"/>
    <n v="322"/>
    <x v="48"/>
    <d v="2025-02-23T00:00:00"/>
    <s v="M"/>
    <x v="0"/>
    <x v="0"/>
    <x v="0"/>
    <x v="3"/>
    <n v="5"/>
    <x v="7"/>
    <x v="1"/>
  </r>
  <r>
    <s v="TX501252"/>
    <x v="18"/>
    <x v="12"/>
    <n v="33.6"/>
    <n v="134.4"/>
    <x v="48"/>
    <d v="2025-02-23T00:00:00"/>
    <s v=""/>
    <x v="0"/>
    <x v="2"/>
    <x v="0"/>
    <x v="3"/>
    <n v="5"/>
    <x v="7"/>
    <x v="0"/>
  </r>
  <r>
    <s v="TX501253"/>
    <x v="9"/>
    <x v="11"/>
    <n v="41.8"/>
    <n v="376.2"/>
    <x v="48"/>
    <d v="2025-02-19T00:00:00"/>
    <s v="F"/>
    <x v="0"/>
    <x v="1"/>
    <x v="0"/>
    <x v="3"/>
    <n v="1"/>
    <x v="7"/>
    <x v="2"/>
  </r>
  <r>
    <s v="TX501254"/>
    <x v="1"/>
    <x v="1"/>
    <n v="106.2"/>
    <n v="212.4"/>
    <x v="48"/>
    <d v="2025-02-18T00:00:00"/>
    <s v="F"/>
    <x v="4"/>
    <x v="2"/>
    <x v="0"/>
    <x v="3"/>
    <n v="0"/>
    <x v="7"/>
    <x v="2"/>
  </r>
  <r>
    <s v="TX501255"/>
    <x v="1"/>
    <x v="1"/>
    <n v="52.6"/>
    <n v="105.2"/>
    <x v="48"/>
    <d v="2025-02-19T00:00:00"/>
    <s v="F"/>
    <x v="0"/>
    <x v="2"/>
    <x v="0"/>
    <x v="5"/>
    <n v="1"/>
    <x v="7"/>
    <x v="2"/>
  </r>
  <r>
    <s v="TX501256"/>
    <x v="11"/>
    <x v="3"/>
    <n v="68.5"/>
    <n v="479.5"/>
    <x v="48"/>
    <d v="2025-02-19T00:00:00"/>
    <s v="F"/>
    <x v="1"/>
    <x v="0"/>
    <x v="0"/>
    <x v="5"/>
    <n v="1"/>
    <x v="7"/>
    <x v="2"/>
  </r>
  <r>
    <s v="TX501257"/>
    <x v="1"/>
    <x v="1"/>
    <n v="55.6"/>
    <n v="111.2"/>
    <x v="48"/>
    <d v="2025-02-20T00:00:00"/>
    <s v="M"/>
    <x v="1"/>
    <x v="2"/>
    <x v="0"/>
    <x v="6"/>
    <n v="2"/>
    <x v="7"/>
    <x v="1"/>
  </r>
  <r>
    <s v="TX501258"/>
    <x v="2"/>
    <x v="2"/>
    <n v="134.9"/>
    <n v="404.70000000000005"/>
    <x v="48"/>
    <d v="2025-02-19T00:00:00"/>
    <s v="M"/>
    <x v="1"/>
    <x v="1"/>
    <x v="0"/>
    <x v="6"/>
    <n v="1"/>
    <x v="7"/>
    <x v="1"/>
  </r>
  <r>
    <s v="TX501259"/>
    <x v="10"/>
    <x v="9"/>
    <n v="42.6"/>
    <n v="213"/>
    <x v="48"/>
    <d v="2025-02-19T00:00:00"/>
    <s v="M"/>
    <x v="0"/>
    <x v="0"/>
    <x v="0"/>
    <x v="6"/>
    <n v="1"/>
    <x v="7"/>
    <x v="1"/>
  </r>
  <r>
    <s v="TX501260"/>
    <x v="7"/>
    <x v="9"/>
    <n v="60.6"/>
    <n v="303"/>
    <x v="48"/>
    <d v="2025-02-20T00:00:00"/>
    <s v="M"/>
    <x v="4"/>
    <x v="0"/>
    <x v="0"/>
    <x v="6"/>
    <n v="2"/>
    <x v="7"/>
    <x v="1"/>
  </r>
  <r>
    <s v="TX501261"/>
    <x v="8"/>
    <x v="1"/>
    <n v="43.5"/>
    <n v="87"/>
    <x v="48"/>
    <d v="2025-02-19T00:00:00"/>
    <s v="M"/>
    <x v="4"/>
    <x v="0"/>
    <x v="0"/>
    <x v="7"/>
    <n v="1"/>
    <x v="7"/>
    <x v="1"/>
  </r>
  <r>
    <s v="TX501262"/>
    <x v="2"/>
    <x v="1"/>
    <n v="187.1"/>
    <n v="374.2"/>
    <x v="48"/>
    <d v="2025-02-19T00:00:00"/>
    <s v="M"/>
    <x v="1"/>
    <x v="2"/>
    <x v="0"/>
    <x v="8"/>
    <n v="1"/>
    <x v="7"/>
    <x v="1"/>
  </r>
  <r>
    <s v="TX501263"/>
    <x v="9"/>
    <x v="2"/>
    <n v="32"/>
    <n v="96"/>
    <x v="48"/>
    <d v="2025-02-20T00:00:00"/>
    <s v="M"/>
    <x v="0"/>
    <x v="0"/>
    <x v="0"/>
    <x v="8"/>
    <n v="2"/>
    <x v="7"/>
    <x v="1"/>
  </r>
  <r>
    <s v="TX501264"/>
    <x v="9"/>
    <x v="1"/>
    <n v="110.8"/>
    <n v="221.6"/>
    <x v="48"/>
    <d v="2025-02-18T00:00:00"/>
    <s v="M"/>
    <x v="0"/>
    <x v="2"/>
    <x v="0"/>
    <x v="8"/>
    <n v="0"/>
    <x v="7"/>
    <x v="1"/>
  </r>
  <r>
    <s v="TX501265"/>
    <x v="10"/>
    <x v="15"/>
    <n v="36.1"/>
    <n v="469.3"/>
    <x v="48"/>
    <d v="2025-02-21T00:00:00"/>
    <s v="F"/>
    <x v="0"/>
    <x v="1"/>
    <x v="0"/>
    <x v="8"/>
    <n v="3"/>
    <x v="7"/>
    <x v="2"/>
  </r>
  <r>
    <s v="TX501266"/>
    <x v="0"/>
    <x v="0"/>
    <n v="24.1"/>
    <n v="24.1"/>
    <x v="48"/>
    <d v="2025-02-20T00:00:00"/>
    <s v="F"/>
    <x v="4"/>
    <x v="2"/>
    <x v="0"/>
    <x v="8"/>
    <n v="2"/>
    <x v="7"/>
    <x v="2"/>
  </r>
  <r>
    <s v="TX501267"/>
    <x v="19"/>
    <x v="2"/>
    <n v="30.5"/>
    <n v="91.5"/>
    <x v="48"/>
    <d v="2025-02-20T00:00:00"/>
    <s v="M"/>
    <x v="1"/>
    <x v="0"/>
    <x v="0"/>
    <x v="8"/>
    <n v="2"/>
    <x v="7"/>
    <x v="1"/>
  </r>
  <r>
    <s v="TX501268"/>
    <x v="18"/>
    <x v="13"/>
    <n v="68.3"/>
    <n v="409.79999999999995"/>
    <x v="48"/>
    <d v="2025-02-21T00:00:00"/>
    <s v="M"/>
    <x v="0"/>
    <x v="0"/>
    <x v="0"/>
    <x v="8"/>
    <n v="3"/>
    <x v="7"/>
    <x v="1"/>
  </r>
  <r>
    <s v="TX501269"/>
    <x v="7"/>
    <x v="2"/>
    <n v="43.3"/>
    <n v="129.89999999999998"/>
    <x v="48"/>
    <d v="2025-02-22T00:00:00"/>
    <s v="F"/>
    <x v="0"/>
    <x v="0"/>
    <x v="0"/>
    <x v="17"/>
    <n v="4"/>
    <x v="7"/>
    <x v="2"/>
  </r>
  <r>
    <s v="TX501270"/>
    <x v="3"/>
    <x v="0"/>
    <n v="101.7"/>
    <n v="101.7"/>
    <x v="48"/>
    <d v="2025-02-21T00:00:00"/>
    <s v="F"/>
    <x v="0"/>
    <x v="1"/>
    <x v="0"/>
    <x v="17"/>
    <n v="3"/>
    <x v="7"/>
    <x v="2"/>
  </r>
  <r>
    <s v="TX501271"/>
    <x v="11"/>
    <x v="1"/>
    <n v="54.2"/>
    <n v="108.4"/>
    <x v="48"/>
    <d v="2025-02-19T00:00:00"/>
    <s v="F"/>
    <x v="0"/>
    <x v="1"/>
    <x v="0"/>
    <x v="17"/>
    <n v="1"/>
    <x v="7"/>
    <x v="2"/>
  </r>
  <r>
    <s v="TX501272"/>
    <x v="16"/>
    <x v="1"/>
    <n v="51"/>
    <n v="102"/>
    <x v="48"/>
    <d v="2025-02-18T00:00:00"/>
    <s v="M"/>
    <x v="1"/>
    <x v="0"/>
    <x v="0"/>
    <x v="26"/>
    <n v="0"/>
    <x v="7"/>
    <x v="1"/>
  </r>
  <r>
    <s v="TX501273"/>
    <x v="4"/>
    <x v="1"/>
    <n v="23.1"/>
    <n v="46.2"/>
    <x v="48"/>
    <d v="2025-02-21T00:00:00"/>
    <s v="M"/>
    <x v="1"/>
    <x v="0"/>
    <x v="0"/>
    <x v="10"/>
    <n v="3"/>
    <x v="7"/>
    <x v="1"/>
  </r>
  <r>
    <s v="TX501274"/>
    <x v="12"/>
    <x v="13"/>
    <n v="60.1"/>
    <n v="360.6"/>
    <x v="48"/>
    <d v="2025-02-18T00:00:00"/>
    <s v="F"/>
    <x v="3"/>
    <x v="0"/>
    <x v="0"/>
    <x v="11"/>
    <n v="0"/>
    <x v="7"/>
    <x v="2"/>
  </r>
  <r>
    <s v="TX501275"/>
    <x v="2"/>
    <x v="3"/>
    <n v="87.5"/>
    <n v="612.5"/>
    <x v="48"/>
    <d v="2025-02-20T00:00:00"/>
    <s v="F"/>
    <x v="0"/>
    <x v="1"/>
    <x v="0"/>
    <x v="11"/>
    <n v="2"/>
    <x v="7"/>
    <x v="2"/>
  </r>
  <r>
    <s v="TX501276"/>
    <x v="1"/>
    <x v="2"/>
    <n v="51"/>
    <n v="153"/>
    <x v="48"/>
    <d v="2025-02-19T00:00:00"/>
    <s v="F"/>
    <x v="1"/>
    <x v="0"/>
    <x v="0"/>
    <x v="11"/>
    <n v="1"/>
    <x v="7"/>
    <x v="2"/>
  </r>
  <r>
    <s v="TX501277"/>
    <x v="8"/>
    <x v="12"/>
    <n v="19.2"/>
    <n v="76.8"/>
    <x v="48"/>
    <d v="2025-02-20T00:00:00"/>
    <s v="F"/>
    <x v="0"/>
    <x v="0"/>
    <x v="0"/>
    <x v="11"/>
    <n v="2"/>
    <x v="7"/>
    <x v="2"/>
  </r>
  <r>
    <s v="TX501278"/>
    <x v="5"/>
    <x v="8"/>
    <n v="26.5"/>
    <n v="212"/>
    <x v="48"/>
    <d v="2025-02-19T00:00:00"/>
    <s v=""/>
    <x v="3"/>
    <x v="2"/>
    <x v="0"/>
    <x v="11"/>
    <n v="1"/>
    <x v="7"/>
    <x v="0"/>
  </r>
  <r>
    <s v="TX501279"/>
    <x v="2"/>
    <x v="1"/>
    <n v="220.3"/>
    <n v="440.6"/>
    <x v="48"/>
    <d v="2025-02-19T00:00:00"/>
    <s v="F"/>
    <x v="1"/>
    <x v="4"/>
    <x v="0"/>
    <x v="53"/>
    <n v="1"/>
    <x v="7"/>
    <x v="2"/>
  </r>
  <r>
    <s v="TX501280"/>
    <x v="8"/>
    <x v="2"/>
    <n v="45.7"/>
    <n v="137.10000000000002"/>
    <x v="48"/>
    <d v="2025-02-19T00:00:00"/>
    <s v="F"/>
    <x v="4"/>
    <x v="0"/>
    <x v="0"/>
    <x v="30"/>
    <n v="1"/>
    <x v="7"/>
    <x v="2"/>
  </r>
  <r>
    <s v="TX501281"/>
    <x v="5"/>
    <x v="9"/>
    <n v="47.1"/>
    <n v="235.5"/>
    <x v="48"/>
    <d v="2025-02-22T00:00:00"/>
    <s v="F"/>
    <x v="3"/>
    <x v="0"/>
    <x v="0"/>
    <x v="13"/>
    <n v="4"/>
    <x v="7"/>
    <x v="2"/>
  </r>
  <r>
    <s v="TX501282"/>
    <x v="1"/>
    <x v="9"/>
    <n v="81.7"/>
    <n v="408.5"/>
    <x v="48"/>
    <d v="2025-02-19T00:00:00"/>
    <s v="F"/>
    <x v="0"/>
    <x v="2"/>
    <x v="0"/>
    <x v="21"/>
    <n v="1"/>
    <x v="7"/>
    <x v="2"/>
  </r>
  <r>
    <s v="TX501283"/>
    <x v="6"/>
    <x v="7"/>
    <n v="97.8"/>
    <n v="978"/>
    <x v="48"/>
    <d v="2025-02-18T00:00:00"/>
    <s v="M"/>
    <x v="1"/>
    <x v="1"/>
    <x v="0"/>
    <x v="21"/>
    <n v="0"/>
    <x v="7"/>
    <x v="1"/>
  </r>
  <r>
    <s v="TX501284"/>
    <x v="6"/>
    <x v="2"/>
    <n v="42.4"/>
    <n v="127.19999999999999"/>
    <x v="48"/>
    <d v="2025-02-19T00:00:00"/>
    <s v="F"/>
    <x v="0"/>
    <x v="2"/>
    <x v="0"/>
    <x v="54"/>
    <n v="1"/>
    <x v="7"/>
    <x v="2"/>
  </r>
  <r>
    <s v="TX501285"/>
    <x v="2"/>
    <x v="7"/>
    <n v="74.5"/>
    <n v="745"/>
    <x v="48"/>
    <d v="2025-02-19T00:00:00"/>
    <s v="M"/>
    <x v="2"/>
    <x v="1"/>
    <x v="0"/>
    <x v="1"/>
    <n v="1"/>
    <x v="7"/>
    <x v="1"/>
  </r>
  <r>
    <s v="TX501286"/>
    <x v="17"/>
    <x v="13"/>
    <n v="47.4"/>
    <n v="284.39999999999998"/>
    <x v="48"/>
    <d v="2025-02-19T00:00:00"/>
    <s v="M"/>
    <x v="1"/>
    <x v="0"/>
    <x v="0"/>
    <x v="1"/>
    <n v="1"/>
    <x v="7"/>
    <x v="1"/>
  </r>
  <r>
    <s v="TX501287"/>
    <x v="14"/>
    <x v="2"/>
    <n v="17.3"/>
    <n v="51.900000000000006"/>
    <x v="49"/>
    <d v="2025-02-22T00:00:00"/>
    <s v="M"/>
    <x v="2"/>
    <x v="2"/>
    <x v="0"/>
    <x v="1"/>
    <n v="3"/>
    <x v="7"/>
    <x v="1"/>
  </r>
  <r>
    <s v="TX501288"/>
    <x v="12"/>
    <x v="12"/>
    <n v="77.900000000000006"/>
    <n v="311.60000000000002"/>
    <x v="49"/>
    <d v="2025-02-20T00:00:00"/>
    <s v="M"/>
    <x v="1"/>
    <x v="0"/>
    <x v="0"/>
    <x v="2"/>
    <n v="1"/>
    <x v="7"/>
    <x v="1"/>
  </r>
  <r>
    <s v="TX501289"/>
    <x v="8"/>
    <x v="0"/>
    <n v="29.1"/>
    <n v="29.1"/>
    <x v="49"/>
    <d v="2025-02-22T00:00:00"/>
    <s v="M"/>
    <x v="0"/>
    <x v="2"/>
    <x v="0"/>
    <x v="50"/>
    <n v="3"/>
    <x v="7"/>
    <x v="1"/>
  </r>
  <r>
    <s v="TX501290"/>
    <x v="8"/>
    <x v="0"/>
    <n v="49"/>
    <n v="49"/>
    <x v="49"/>
    <d v="2025-02-20T00:00:00"/>
    <s v="M"/>
    <x v="1"/>
    <x v="0"/>
    <x v="0"/>
    <x v="3"/>
    <n v="1"/>
    <x v="7"/>
    <x v="1"/>
  </r>
  <r>
    <s v="TX501291"/>
    <x v="8"/>
    <x v="13"/>
    <n v="21.1"/>
    <n v="126.60000000000001"/>
    <x v="49"/>
    <d v="2025-02-26T00:00:00"/>
    <s v="M"/>
    <x v="0"/>
    <x v="2"/>
    <x v="0"/>
    <x v="3"/>
    <n v="7"/>
    <x v="7"/>
    <x v="1"/>
  </r>
  <r>
    <s v="TX501292"/>
    <x v="4"/>
    <x v="10"/>
    <n v="36.9"/>
    <n v="701.1"/>
    <x v="49"/>
    <d v="2025-02-19T00:00:00"/>
    <s v="F"/>
    <x v="0"/>
    <x v="0"/>
    <x v="0"/>
    <x v="3"/>
    <n v="0"/>
    <x v="7"/>
    <x v="2"/>
  </r>
  <r>
    <s v="TX501293"/>
    <x v="1"/>
    <x v="7"/>
    <n v="92.6"/>
    <n v="926"/>
    <x v="49"/>
    <d v="2025-02-24T00:00:00"/>
    <s v="M"/>
    <x v="4"/>
    <x v="2"/>
    <x v="0"/>
    <x v="3"/>
    <n v="5"/>
    <x v="7"/>
    <x v="1"/>
  </r>
  <r>
    <s v="TX501294"/>
    <x v="10"/>
    <x v="1"/>
    <n v="38"/>
    <n v="76"/>
    <x v="49"/>
    <d v="2025-02-20T00:00:00"/>
    <s v="M"/>
    <x v="1"/>
    <x v="1"/>
    <x v="0"/>
    <x v="3"/>
    <n v="1"/>
    <x v="7"/>
    <x v="1"/>
  </r>
  <r>
    <s v="TX501295"/>
    <x v="5"/>
    <x v="2"/>
    <n v="54.8"/>
    <n v="164.39999999999998"/>
    <x v="49"/>
    <d v="2025-02-23T00:00:00"/>
    <s v=""/>
    <x v="0"/>
    <x v="1"/>
    <x v="0"/>
    <x v="3"/>
    <n v="4"/>
    <x v="7"/>
    <x v="0"/>
  </r>
  <r>
    <s v="TX501296"/>
    <x v="10"/>
    <x v="4"/>
    <n v="56.8"/>
    <n v="681.59999999999991"/>
    <x v="49"/>
    <d v="2025-02-21T00:00:00"/>
    <s v="M"/>
    <x v="1"/>
    <x v="0"/>
    <x v="0"/>
    <x v="3"/>
    <n v="2"/>
    <x v="7"/>
    <x v="1"/>
  </r>
  <r>
    <s v="TX501297"/>
    <x v="11"/>
    <x v="40"/>
    <n v="47.2"/>
    <n v="1557.6000000000001"/>
    <x v="49"/>
    <d v="2025-02-22T00:00:00"/>
    <s v="F"/>
    <x v="1"/>
    <x v="0"/>
    <x v="0"/>
    <x v="3"/>
    <n v="3"/>
    <x v="7"/>
    <x v="2"/>
  </r>
  <r>
    <s v="TX501298"/>
    <x v="7"/>
    <x v="13"/>
    <n v="45.1"/>
    <n v="270.60000000000002"/>
    <x v="49"/>
    <d v="2025-02-20T00:00:00"/>
    <s v="F"/>
    <x v="2"/>
    <x v="0"/>
    <x v="0"/>
    <x v="43"/>
    <n v="1"/>
    <x v="7"/>
    <x v="2"/>
  </r>
  <r>
    <s v="TX501299"/>
    <x v="4"/>
    <x v="4"/>
    <n v="25.2"/>
    <n v="302.39999999999998"/>
    <x v="49"/>
    <d v="2025-02-24T00:00:00"/>
    <s v="F"/>
    <x v="2"/>
    <x v="0"/>
    <x v="0"/>
    <x v="16"/>
    <n v="5"/>
    <x v="7"/>
    <x v="2"/>
  </r>
  <r>
    <s v="TX501300"/>
    <x v="8"/>
    <x v="0"/>
    <n v="22"/>
    <n v="22"/>
    <x v="49"/>
    <d v="2025-02-20T00:00:00"/>
    <s v="F"/>
    <x v="0"/>
    <x v="0"/>
    <x v="0"/>
    <x v="5"/>
    <n v="1"/>
    <x v="7"/>
    <x v="2"/>
  </r>
  <r>
    <s v="TX501301"/>
    <x v="6"/>
    <x v="1"/>
    <n v="42.2"/>
    <n v="84.4"/>
    <x v="49"/>
    <d v="2025-02-20T00:00:00"/>
    <s v="F"/>
    <x v="1"/>
    <x v="1"/>
    <x v="0"/>
    <x v="23"/>
    <n v="1"/>
    <x v="7"/>
    <x v="2"/>
  </r>
  <r>
    <s v="TX501302"/>
    <x v="13"/>
    <x v="2"/>
    <n v="20.5"/>
    <n v="61.5"/>
    <x v="49"/>
    <d v="2025-02-20T00:00:00"/>
    <s v="M"/>
    <x v="0"/>
    <x v="1"/>
    <x v="0"/>
    <x v="6"/>
    <n v="1"/>
    <x v="7"/>
    <x v="1"/>
  </r>
  <r>
    <s v="TX501303"/>
    <x v="2"/>
    <x v="0"/>
    <n v="190.4"/>
    <n v="190.4"/>
    <x v="49"/>
    <d v="2025-02-24T00:00:00"/>
    <s v="M"/>
    <x v="1"/>
    <x v="4"/>
    <x v="0"/>
    <x v="6"/>
    <n v="5"/>
    <x v="7"/>
    <x v="1"/>
  </r>
  <r>
    <s v="TX501304"/>
    <x v="2"/>
    <x v="0"/>
    <n v="121.9"/>
    <n v="121.9"/>
    <x v="49"/>
    <d v="2025-02-21T00:00:00"/>
    <s v="F"/>
    <x v="1"/>
    <x v="2"/>
    <x v="0"/>
    <x v="6"/>
    <n v="2"/>
    <x v="7"/>
    <x v="2"/>
  </r>
  <r>
    <s v="TX501305"/>
    <x v="2"/>
    <x v="13"/>
    <n v="149.19999999999999"/>
    <n v="895.19999999999993"/>
    <x v="49"/>
    <d v="2025-02-20T00:00:00"/>
    <s v="F"/>
    <x v="2"/>
    <x v="2"/>
    <x v="0"/>
    <x v="7"/>
    <n v="1"/>
    <x v="7"/>
    <x v="2"/>
  </r>
  <r>
    <s v="TX501306"/>
    <x v="2"/>
    <x v="0"/>
    <n v="54.1"/>
    <n v="54.1"/>
    <x v="49"/>
    <d v="2025-02-28T00:00:00"/>
    <s v="F"/>
    <x v="2"/>
    <x v="2"/>
    <x v="0"/>
    <x v="7"/>
    <n v="9"/>
    <x v="7"/>
    <x v="2"/>
  </r>
  <r>
    <s v="TX501307"/>
    <x v="5"/>
    <x v="1"/>
    <n v="27.4"/>
    <n v="54.8"/>
    <x v="49"/>
    <d v="2025-02-21T00:00:00"/>
    <s v="M"/>
    <x v="1"/>
    <x v="0"/>
    <x v="0"/>
    <x v="8"/>
    <n v="2"/>
    <x v="7"/>
    <x v="1"/>
  </r>
  <r>
    <s v="TX501308"/>
    <x v="0"/>
    <x v="15"/>
    <n v="30.4"/>
    <n v="395.2"/>
    <x v="49"/>
    <d v="2025-02-20T00:00:00"/>
    <s v="F"/>
    <x v="0"/>
    <x v="2"/>
    <x v="0"/>
    <x v="8"/>
    <n v="1"/>
    <x v="7"/>
    <x v="2"/>
  </r>
  <r>
    <s v="TX501309"/>
    <x v="12"/>
    <x v="2"/>
    <n v="46.2"/>
    <n v="138.60000000000002"/>
    <x v="49"/>
    <d v="2025-02-21T00:00:00"/>
    <s v="M"/>
    <x v="2"/>
    <x v="1"/>
    <x v="0"/>
    <x v="17"/>
    <n v="2"/>
    <x v="7"/>
    <x v="1"/>
  </r>
  <r>
    <s v="TX501310"/>
    <x v="7"/>
    <x v="8"/>
    <n v="78.599999999999994"/>
    <n v="628.79999999999995"/>
    <x v="49"/>
    <d v="2025-02-23T00:00:00"/>
    <s v="M"/>
    <x v="3"/>
    <x v="0"/>
    <x v="0"/>
    <x v="17"/>
    <n v="4"/>
    <x v="7"/>
    <x v="1"/>
  </r>
  <r>
    <s v="TX501311"/>
    <x v="17"/>
    <x v="7"/>
    <n v="25.9"/>
    <n v="259"/>
    <x v="49"/>
    <d v="2025-02-25T00:00:00"/>
    <s v="M"/>
    <x v="4"/>
    <x v="0"/>
    <x v="0"/>
    <x v="9"/>
    <n v="6"/>
    <x v="7"/>
    <x v="1"/>
  </r>
  <r>
    <s v="TX501312"/>
    <x v="6"/>
    <x v="0"/>
    <n v="134.80000000000001"/>
    <n v="134.80000000000001"/>
    <x v="49"/>
    <d v="2025-02-21T00:00:00"/>
    <s v="M"/>
    <x v="2"/>
    <x v="2"/>
    <x v="0"/>
    <x v="9"/>
    <n v="2"/>
    <x v="7"/>
    <x v="1"/>
  </r>
  <r>
    <s v="TX501313"/>
    <x v="15"/>
    <x v="9"/>
    <n v="43.1"/>
    <n v="215.5"/>
    <x v="49"/>
    <d v="2025-02-21T00:00:00"/>
    <s v="F"/>
    <x v="0"/>
    <x v="0"/>
    <x v="0"/>
    <x v="11"/>
    <n v="2"/>
    <x v="7"/>
    <x v="2"/>
  </r>
  <r>
    <s v="TX501314"/>
    <x v="2"/>
    <x v="1"/>
    <n v="215.6"/>
    <n v="431.2"/>
    <x v="49"/>
    <d v="2025-02-20T00:00:00"/>
    <s v="F"/>
    <x v="2"/>
    <x v="0"/>
    <x v="0"/>
    <x v="18"/>
    <n v="1"/>
    <x v="7"/>
    <x v="2"/>
  </r>
  <r>
    <s v="TX501315"/>
    <x v="6"/>
    <x v="1"/>
    <n v="80.7"/>
    <n v="161.4"/>
    <x v="49"/>
    <d v="2025-02-22T00:00:00"/>
    <s v="F"/>
    <x v="3"/>
    <x v="0"/>
    <x v="0"/>
    <x v="18"/>
    <n v="3"/>
    <x v="7"/>
    <x v="2"/>
  </r>
  <r>
    <s v="TX501316"/>
    <x v="10"/>
    <x v="3"/>
    <n v="20.6"/>
    <n v="144.20000000000002"/>
    <x v="49"/>
    <d v="2025-02-24T00:00:00"/>
    <s v=""/>
    <x v="2"/>
    <x v="1"/>
    <x v="0"/>
    <x v="19"/>
    <n v="5"/>
    <x v="7"/>
    <x v="0"/>
  </r>
  <r>
    <s v="TX501317"/>
    <x v="12"/>
    <x v="2"/>
    <n v="37.1"/>
    <n v="111.30000000000001"/>
    <x v="49"/>
    <d v="2025-02-20T00:00:00"/>
    <s v="F"/>
    <x v="0"/>
    <x v="0"/>
    <x v="0"/>
    <x v="52"/>
    <n v="1"/>
    <x v="7"/>
    <x v="2"/>
  </r>
  <r>
    <s v="TX501318"/>
    <x v="12"/>
    <x v="0"/>
    <n v="104.8"/>
    <n v="104.8"/>
    <x v="50"/>
    <d v="2025-02-22T00:00:00"/>
    <s v="F"/>
    <x v="0"/>
    <x v="0"/>
    <x v="0"/>
    <x v="13"/>
    <n v="2"/>
    <x v="7"/>
    <x v="2"/>
  </r>
  <r>
    <s v="TX501319"/>
    <x v="8"/>
    <x v="1"/>
    <n v="59"/>
    <n v="118"/>
    <x v="50"/>
    <d v="2025-02-21T00:00:00"/>
    <s v="M"/>
    <x v="1"/>
    <x v="0"/>
    <x v="0"/>
    <x v="21"/>
    <n v="1"/>
    <x v="7"/>
    <x v="1"/>
  </r>
  <r>
    <s v="TX501320"/>
    <x v="8"/>
    <x v="1"/>
    <n v="32.299999999999997"/>
    <n v="64.599999999999994"/>
    <x v="50"/>
    <d v="2025-02-21T00:00:00"/>
    <s v="M"/>
    <x v="0"/>
    <x v="2"/>
    <x v="0"/>
    <x v="21"/>
    <n v="1"/>
    <x v="7"/>
    <x v="1"/>
  </r>
  <r>
    <s v="TX501321"/>
    <x v="8"/>
    <x v="12"/>
    <n v="28.9"/>
    <n v="115.6"/>
    <x v="50"/>
    <d v="2025-02-27T00:00:00"/>
    <s v="M"/>
    <x v="0"/>
    <x v="0"/>
    <x v="0"/>
    <x v="1"/>
    <n v="7"/>
    <x v="7"/>
    <x v="1"/>
  </r>
  <r>
    <s v="TX501322"/>
    <x v="0"/>
    <x v="1"/>
    <n v="29.6"/>
    <n v="59.2"/>
    <x v="50"/>
    <d v="2025-02-22T00:00:00"/>
    <s v="M"/>
    <x v="0"/>
    <x v="0"/>
    <x v="0"/>
    <x v="1"/>
    <n v="2"/>
    <x v="7"/>
    <x v="1"/>
  </r>
  <r>
    <s v="TX501323"/>
    <x v="0"/>
    <x v="9"/>
    <n v="29.4"/>
    <n v="147"/>
    <x v="50"/>
    <d v="2025-02-23T00:00:00"/>
    <s v="F"/>
    <x v="0"/>
    <x v="0"/>
    <x v="0"/>
    <x v="1"/>
    <n v="3"/>
    <x v="7"/>
    <x v="2"/>
  </r>
  <r>
    <s v="TX501324"/>
    <x v="1"/>
    <x v="1"/>
    <n v="40.6"/>
    <n v="81.2"/>
    <x v="50"/>
    <d v="2025-02-21T00:00:00"/>
    <s v="M"/>
    <x v="0"/>
    <x v="4"/>
    <x v="0"/>
    <x v="2"/>
    <n v="1"/>
    <x v="7"/>
    <x v="1"/>
  </r>
  <r>
    <s v="TX501325"/>
    <x v="0"/>
    <x v="2"/>
    <n v="32.5"/>
    <n v="97.5"/>
    <x v="50"/>
    <d v="2025-02-21T00:00:00"/>
    <s v="M"/>
    <x v="3"/>
    <x v="2"/>
    <x v="0"/>
    <x v="22"/>
    <n v="1"/>
    <x v="7"/>
    <x v="1"/>
  </r>
  <r>
    <s v="TX501326"/>
    <x v="15"/>
    <x v="0"/>
    <n v="26.2"/>
    <n v="26.2"/>
    <x v="50"/>
    <d v="2025-02-22T00:00:00"/>
    <s v="M"/>
    <x v="2"/>
    <x v="0"/>
    <x v="0"/>
    <x v="55"/>
    <n v="2"/>
    <x v="7"/>
    <x v="1"/>
  </r>
  <r>
    <s v="TX501327"/>
    <x v="10"/>
    <x v="17"/>
    <n v="44"/>
    <n v="1320"/>
    <x v="50"/>
    <d v="2025-02-26T00:00:00"/>
    <s v="M"/>
    <x v="4"/>
    <x v="0"/>
    <x v="0"/>
    <x v="3"/>
    <n v="6"/>
    <x v="7"/>
    <x v="1"/>
  </r>
  <r>
    <s v="TX501328"/>
    <x v="7"/>
    <x v="12"/>
    <n v="65.599999999999994"/>
    <n v="262.39999999999998"/>
    <x v="50"/>
    <d v="2025-02-21T00:00:00"/>
    <s v="F"/>
    <x v="1"/>
    <x v="1"/>
    <x v="0"/>
    <x v="3"/>
    <n v="1"/>
    <x v="7"/>
    <x v="2"/>
  </r>
  <r>
    <s v="TX501329"/>
    <x v="5"/>
    <x v="4"/>
    <n v="32.6"/>
    <n v="391.20000000000005"/>
    <x v="50"/>
    <d v="2025-02-21T00:00:00"/>
    <s v="M"/>
    <x v="4"/>
    <x v="0"/>
    <x v="0"/>
    <x v="3"/>
    <n v="1"/>
    <x v="7"/>
    <x v="1"/>
  </r>
  <r>
    <s v="TX501330"/>
    <x v="16"/>
    <x v="1"/>
    <n v="88.7"/>
    <n v="177.4"/>
    <x v="50"/>
    <d v="2025-02-21T00:00:00"/>
    <s v=""/>
    <x v="3"/>
    <x v="2"/>
    <x v="0"/>
    <x v="3"/>
    <n v="1"/>
    <x v="7"/>
    <x v="0"/>
  </r>
  <r>
    <s v="TX501331"/>
    <x v="4"/>
    <x v="1"/>
    <n v="21.3"/>
    <n v="42.6"/>
    <x v="50"/>
    <d v="2025-02-21T00:00:00"/>
    <s v="M"/>
    <x v="0"/>
    <x v="0"/>
    <x v="0"/>
    <x v="3"/>
    <n v="1"/>
    <x v="7"/>
    <x v="1"/>
  </r>
  <r>
    <s v="TX501332"/>
    <x v="4"/>
    <x v="13"/>
    <n v="50.6"/>
    <n v="303.60000000000002"/>
    <x v="50"/>
    <d v="2025-02-24T00:00:00"/>
    <s v="F"/>
    <x v="2"/>
    <x v="0"/>
    <x v="0"/>
    <x v="3"/>
    <n v="4"/>
    <x v="7"/>
    <x v="2"/>
  </r>
  <r>
    <s v="TX501333"/>
    <x v="9"/>
    <x v="38"/>
    <n v="86.9"/>
    <n v="1824.9"/>
    <x v="50"/>
    <d v="2025-02-23T00:00:00"/>
    <s v="F"/>
    <x v="0"/>
    <x v="1"/>
    <x v="0"/>
    <x v="3"/>
    <n v="3"/>
    <x v="7"/>
    <x v="2"/>
  </r>
  <r>
    <s v="TX501334"/>
    <x v="11"/>
    <x v="2"/>
    <n v="31.8"/>
    <n v="95.4"/>
    <x v="50"/>
    <d v="2025-02-22T00:00:00"/>
    <s v="M"/>
    <x v="0"/>
    <x v="2"/>
    <x v="0"/>
    <x v="3"/>
    <n v="2"/>
    <x v="7"/>
    <x v="1"/>
  </r>
  <r>
    <s v="TX501335"/>
    <x v="8"/>
    <x v="0"/>
    <n v="19"/>
    <n v="19"/>
    <x v="50"/>
    <d v="2025-02-21T00:00:00"/>
    <s v="F"/>
    <x v="0"/>
    <x v="2"/>
    <x v="0"/>
    <x v="3"/>
    <n v="1"/>
    <x v="7"/>
    <x v="2"/>
  </r>
  <r>
    <s v="TX501336"/>
    <x v="5"/>
    <x v="0"/>
    <n v="54.5"/>
    <n v="54.5"/>
    <x v="50"/>
    <d v="2025-02-22T00:00:00"/>
    <s v="M"/>
    <x v="0"/>
    <x v="0"/>
    <x v="0"/>
    <x v="3"/>
    <n v="2"/>
    <x v="7"/>
    <x v="1"/>
  </r>
  <r>
    <s v="TX501337"/>
    <x v="9"/>
    <x v="9"/>
    <n v="68.900000000000006"/>
    <n v="344.5"/>
    <x v="50"/>
    <d v="2025-02-22T00:00:00"/>
    <s v="M"/>
    <x v="4"/>
    <x v="1"/>
    <x v="0"/>
    <x v="3"/>
    <n v="2"/>
    <x v="7"/>
    <x v="1"/>
  </r>
  <r>
    <s v="TX501338"/>
    <x v="6"/>
    <x v="2"/>
    <n v="84"/>
    <n v="252"/>
    <x v="50"/>
    <d v="2025-02-21T00:00:00"/>
    <s v="M"/>
    <x v="1"/>
    <x v="4"/>
    <x v="0"/>
    <x v="16"/>
    <n v="1"/>
    <x v="7"/>
    <x v="1"/>
  </r>
  <r>
    <s v="TX501339"/>
    <x v="15"/>
    <x v="8"/>
    <n v="23.1"/>
    <n v="184.8"/>
    <x v="50"/>
    <d v="2025-02-25T00:00:00"/>
    <s v="M"/>
    <x v="0"/>
    <x v="2"/>
    <x v="0"/>
    <x v="23"/>
    <n v="5"/>
    <x v="7"/>
    <x v="1"/>
  </r>
  <r>
    <s v="TX501340"/>
    <x v="7"/>
    <x v="1"/>
    <n v="62.4"/>
    <n v="124.8"/>
    <x v="50"/>
    <d v="2025-02-21T00:00:00"/>
    <s v="F"/>
    <x v="0"/>
    <x v="1"/>
    <x v="0"/>
    <x v="6"/>
    <n v="1"/>
    <x v="7"/>
    <x v="2"/>
  </r>
  <r>
    <s v="TX501341"/>
    <x v="6"/>
    <x v="4"/>
    <n v="40.700000000000003"/>
    <n v="488.40000000000003"/>
    <x v="50"/>
    <d v="2025-02-22T00:00:00"/>
    <s v="M"/>
    <x v="1"/>
    <x v="2"/>
    <x v="0"/>
    <x v="6"/>
    <n v="2"/>
    <x v="7"/>
    <x v="1"/>
  </r>
  <r>
    <s v="TX501342"/>
    <x v="6"/>
    <x v="0"/>
    <n v="49.6"/>
    <n v="49.6"/>
    <x v="50"/>
    <d v="2025-02-23T00:00:00"/>
    <s v="M"/>
    <x v="2"/>
    <x v="0"/>
    <x v="0"/>
    <x v="7"/>
    <n v="3"/>
    <x v="7"/>
    <x v="1"/>
  </r>
  <r>
    <s v="TX501343"/>
    <x v="7"/>
    <x v="41"/>
    <n v="66.599999999999994"/>
    <n v="2996.9999999999995"/>
    <x v="50"/>
    <d v="2025-02-23T00:00:00"/>
    <s v="M"/>
    <x v="2"/>
    <x v="0"/>
    <x v="0"/>
    <x v="8"/>
    <n v="3"/>
    <x v="7"/>
    <x v="1"/>
  </r>
  <r>
    <s v="TX501344"/>
    <x v="8"/>
    <x v="2"/>
    <n v="26.4"/>
    <n v="79.199999999999989"/>
    <x v="50"/>
    <d v="2025-02-21T00:00:00"/>
    <s v="F"/>
    <x v="1"/>
    <x v="1"/>
    <x v="0"/>
    <x v="8"/>
    <n v="1"/>
    <x v="7"/>
    <x v="2"/>
  </r>
  <r>
    <s v="TX501345"/>
    <x v="0"/>
    <x v="1"/>
    <n v="17.2"/>
    <n v="34.4"/>
    <x v="50"/>
    <d v="2025-02-23T00:00:00"/>
    <s v="M"/>
    <x v="2"/>
    <x v="1"/>
    <x v="0"/>
    <x v="8"/>
    <n v="3"/>
    <x v="7"/>
    <x v="1"/>
  </r>
  <r>
    <s v="TX501346"/>
    <x v="5"/>
    <x v="8"/>
    <n v="58.1"/>
    <n v="464.8"/>
    <x v="50"/>
    <d v="2025-02-23T00:00:00"/>
    <s v="F"/>
    <x v="4"/>
    <x v="0"/>
    <x v="0"/>
    <x v="8"/>
    <n v="3"/>
    <x v="7"/>
    <x v="2"/>
  </r>
  <r>
    <s v="TX501347"/>
    <x v="15"/>
    <x v="12"/>
    <n v="31.5"/>
    <n v="126"/>
    <x v="50"/>
    <d v="2025-02-23T00:00:00"/>
    <s v="F"/>
    <x v="4"/>
    <x v="4"/>
    <x v="0"/>
    <x v="8"/>
    <n v="3"/>
    <x v="7"/>
    <x v="2"/>
  </r>
  <r>
    <s v="TX501348"/>
    <x v="0"/>
    <x v="0"/>
    <n v="27.1"/>
    <n v="27.1"/>
    <x v="50"/>
    <d v="2025-02-22T00:00:00"/>
    <s v="F"/>
    <x v="0"/>
    <x v="1"/>
    <x v="0"/>
    <x v="17"/>
    <n v="2"/>
    <x v="7"/>
    <x v="2"/>
  </r>
  <r>
    <s v="TX501349"/>
    <x v="18"/>
    <x v="12"/>
    <n v="28.5"/>
    <n v="114"/>
    <x v="50"/>
    <d v="2025-02-22T00:00:00"/>
    <s v="M"/>
    <x v="1"/>
    <x v="2"/>
    <x v="0"/>
    <x v="9"/>
    <n v="2"/>
    <x v="7"/>
    <x v="1"/>
  </r>
  <r>
    <s v="TX501350"/>
    <x v="10"/>
    <x v="0"/>
    <n v="40.5"/>
    <n v="40.5"/>
    <x v="51"/>
    <d v="2025-02-23T00:00:00"/>
    <s v="O"/>
    <x v="2"/>
    <x v="0"/>
    <x v="0"/>
    <x v="9"/>
    <n v="2"/>
    <x v="7"/>
    <x v="3"/>
  </r>
  <r>
    <s v="TX501351"/>
    <x v="2"/>
    <x v="2"/>
    <n v="77.900000000000006"/>
    <n v="233.70000000000002"/>
    <x v="51"/>
    <d v="2025-02-25T00:00:00"/>
    <s v="F"/>
    <x v="1"/>
    <x v="2"/>
    <x v="0"/>
    <x v="19"/>
    <n v="4"/>
    <x v="7"/>
    <x v="2"/>
  </r>
  <r>
    <s v="TX501352"/>
    <x v="18"/>
    <x v="12"/>
    <n v="37.1"/>
    <n v="148.4"/>
    <x v="51"/>
    <d v="2025-02-23T00:00:00"/>
    <s v="M"/>
    <x v="4"/>
    <x v="2"/>
    <x v="0"/>
    <x v="19"/>
    <n v="2"/>
    <x v="7"/>
    <x v="1"/>
  </r>
  <r>
    <s v="TX501353"/>
    <x v="16"/>
    <x v="2"/>
    <n v="51.6"/>
    <n v="154.80000000000001"/>
    <x v="51"/>
    <d v="2025-03-01T00:00:00"/>
    <s v="F"/>
    <x v="0"/>
    <x v="4"/>
    <x v="0"/>
    <x v="19"/>
    <n v="8"/>
    <x v="7"/>
    <x v="2"/>
  </r>
  <r>
    <s v="TX501354"/>
    <x v="7"/>
    <x v="2"/>
    <n v="98"/>
    <n v="294"/>
    <x v="51"/>
    <d v="2025-02-22T00:00:00"/>
    <s v="M"/>
    <x v="1"/>
    <x v="1"/>
    <x v="0"/>
    <x v="19"/>
    <n v="1"/>
    <x v="7"/>
    <x v="1"/>
  </r>
  <r>
    <s v="TX501355"/>
    <x v="6"/>
    <x v="3"/>
    <n v="41.4"/>
    <n v="289.8"/>
    <x v="51"/>
    <d v="2025-02-22T00:00:00"/>
    <s v="M"/>
    <x v="1"/>
    <x v="0"/>
    <x v="0"/>
    <x v="20"/>
    <n v="1"/>
    <x v="7"/>
    <x v="1"/>
  </r>
  <r>
    <s v="TX501356"/>
    <x v="11"/>
    <x v="8"/>
    <n v="34"/>
    <n v="272"/>
    <x v="51"/>
    <d v="2025-02-26T00:00:00"/>
    <s v="F"/>
    <x v="0"/>
    <x v="2"/>
    <x v="0"/>
    <x v="52"/>
    <n v="5"/>
    <x v="7"/>
    <x v="2"/>
  </r>
  <r>
    <s v="TX501357"/>
    <x v="6"/>
    <x v="0"/>
    <n v="66.3"/>
    <n v="66.3"/>
    <x v="51"/>
    <d v="2025-02-22T00:00:00"/>
    <s v="F"/>
    <x v="1"/>
    <x v="0"/>
    <x v="0"/>
    <x v="13"/>
    <n v="1"/>
    <x v="7"/>
    <x v="2"/>
  </r>
  <r>
    <s v="TX501358"/>
    <x v="7"/>
    <x v="0"/>
    <n v="33.5"/>
    <n v="33.5"/>
    <x v="51"/>
    <d v="2025-02-25T00:00:00"/>
    <s v="M"/>
    <x v="2"/>
    <x v="0"/>
    <x v="0"/>
    <x v="13"/>
    <n v="4"/>
    <x v="7"/>
    <x v="1"/>
  </r>
  <r>
    <s v="TX501359"/>
    <x v="12"/>
    <x v="1"/>
    <n v="70.8"/>
    <n v="141.6"/>
    <x v="51"/>
    <d v="2025-02-22T00:00:00"/>
    <s v=""/>
    <x v="0"/>
    <x v="0"/>
    <x v="0"/>
    <x v="28"/>
    <n v="1"/>
    <x v="7"/>
    <x v="0"/>
  </r>
  <r>
    <s v="TX501360"/>
    <x v="6"/>
    <x v="1"/>
    <n v="127.6"/>
    <n v="255.2"/>
    <x v="51"/>
    <d v="2025-02-22T00:00:00"/>
    <s v="M"/>
    <x v="0"/>
    <x v="0"/>
    <x v="0"/>
    <x v="21"/>
    <n v="1"/>
    <x v="7"/>
    <x v="1"/>
  </r>
  <r>
    <s v="TX501361"/>
    <x v="6"/>
    <x v="2"/>
    <n v="95.9"/>
    <n v="287.70000000000005"/>
    <x v="51"/>
    <d v="2025-02-22T00:00:00"/>
    <s v="F"/>
    <x v="1"/>
    <x v="1"/>
    <x v="0"/>
    <x v="21"/>
    <n v="1"/>
    <x v="7"/>
    <x v="2"/>
  </r>
  <r>
    <s v="TX501362"/>
    <x v="2"/>
    <x v="1"/>
    <n v="78.099999999999994"/>
    <n v="156.19999999999999"/>
    <x v="51"/>
    <d v="2025-02-22T00:00:00"/>
    <s v="M"/>
    <x v="0"/>
    <x v="0"/>
    <x v="0"/>
    <x v="1"/>
    <n v="1"/>
    <x v="7"/>
    <x v="1"/>
  </r>
  <r>
    <s v="TX501363"/>
    <x v="13"/>
    <x v="1"/>
    <n v="43.2"/>
    <n v="86.4"/>
    <x v="51"/>
    <d v="2025-02-22T00:00:00"/>
    <s v=""/>
    <x v="1"/>
    <x v="1"/>
    <x v="0"/>
    <x v="1"/>
    <n v="1"/>
    <x v="7"/>
    <x v="0"/>
  </r>
  <r>
    <s v="TX501364"/>
    <x v="8"/>
    <x v="12"/>
    <n v="28.4"/>
    <n v="113.6"/>
    <x v="51"/>
    <d v="2025-02-27T00:00:00"/>
    <s v="M"/>
    <x v="2"/>
    <x v="0"/>
    <x v="0"/>
    <x v="3"/>
    <n v="6"/>
    <x v="7"/>
    <x v="1"/>
  </r>
  <r>
    <s v="TX501365"/>
    <x v="2"/>
    <x v="1"/>
    <n v="81.7"/>
    <n v="163.4"/>
    <x v="51"/>
    <d v="2025-02-21T00:00:00"/>
    <s v="M"/>
    <x v="0"/>
    <x v="0"/>
    <x v="0"/>
    <x v="3"/>
    <n v="0"/>
    <x v="7"/>
    <x v="1"/>
  </r>
  <r>
    <s v="TX501366"/>
    <x v="18"/>
    <x v="1"/>
    <n v="56.7"/>
    <n v="113.4"/>
    <x v="51"/>
    <d v="2025-02-23T00:00:00"/>
    <s v=""/>
    <x v="0"/>
    <x v="2"/>
    <x v="0"/>
    <x v="3"/>
    <n v="2"/>
    <x v="7"/>
    <x v="0"/>
  </r>
  <r>
    <s v="TX501367"/>
    <x v="3"/>
    <x v="12"/>
    <n v="66.5"/>
    <n v="266"/>
    <x v="51"/>
    <d v="2025-02-21T00:00:00"/>
    <s v="F"/>
    <x v="0"/>
    <x v="2"/>
    <x v="0"/>
    <x v="3"/>
    <n v="0"/>
    <x v="7"/>
    <x v="2"/>
  </r>
  <r>
    <s v="TX501368"/>
    <x v="1"/>
    <x v="1"/>
    <n v="105.3"/>
    <n v="210.6"/>
    <x v="51"/>
    <d v="2025-02-25T00:00:00"/>
    <s v="M"/>
    <x v="0"/>
    <x v="1"/>
    <x v="0"/>
    <x v="3"/>
    <n v="4"/>
    <x v="7"/>
    <x v="1"/>
  </r>
  <r>
    <s v="TX501369"/>
    <x v="10"/>
    <x v="9"/>
    <n v="33.799999999999997"/>
    <n v="169"/>
    <x v="51"/>
    <d v="2025-02-26T00:00:00"/>
    <s v="M"/>
    <x v="0"/>
    <x v="0"/>
    <x v="0"/>
    <x v="3"/>
    <n v="5"/>
    <x v="7"/>
    <x v="1"/>
  </r>
  <r>
    <s v="TX501370"/>
    <x v="6"/>
    <x v="2"/>
    <n v="63.4"/>
    <n v="190.2"/>
    <x v="51"/>
    <d v="2025-02-26T00:00:00"/>
    <s v="M"/>
    <x v="3"/>
    <x v="1"/>
    <x v="0"/>
    <x v="24"/>
    <n v="5"/>
    <x v="7"/>
    <x v="1"/>
  </r>
  <r>
    <s v="TX501371"/>
    <x v="6"/>
    <x v="2"/>
    <n v="49"/>
    <n v="147"/>
    <x v="51"/>
    <d v="2025-02-25T00:00:00"/>
    <s v="M"/>
    <x v="3"/>
    <x v="0"/>
    <x v="0"/>
    <x v="49"/>
    <n v="4"/>
    <x v="7"/>
    <x v="1"/>
  </r>
  <r>
    <s v="TX501372"/>
    <x v="1"/>
    <x v="1"/>
    <n v="40"/>
    <n v="80"/>
    <x v="51"/>
    <d v="2025-02-22T00:00:00"/>
    <s v="F"/>
    <x v="4"/>
    <x v="1"/>
    <x v="0"/>
    <x v="23"/>
    <n v="1"/>
    <x v="7"/>
    <x v="2"/>
  </r>
  <r>
    <s v="TX501373"/>
    <x v="6"/>
    <x v="12"/>
    <n v="86.3"/>
    <n v="345.2"/>
    <x v="51"/>
    <d v="2025-02-22T00:00:00"/>
    <s v="O"/>
    <x v="0"/>
    <x v="0"/>
    <x v="0"/>
    <x v="6"/>
    <n v="1"/>
    <x v="7"/>
    <x v="3"/>
  </r>
  <r>
    <s v="TX501374"/>
    <x v="6"/>
    <x v="0"/>
    <n v="51.6"/>
    <n v="51.6"/>
    <x v="51"/>
    <d v="2025-02-23T00:00:00"/>
    <s v="F"/>
    <x v="2"/>
    <x v="2"/>
    <x v="0"/>
    <x v="6"/>
    <n v="2"/>
    <x v="7"/>
    <x v="2"/>
  </r>
  <r>
    <s v="TX501375"/>
    <x v="10"/>
    <x v="2"/>
    <n v="26.7"/>
    <n v="80.099999999999994"/>
    <x v="51"/>
    <d v="2025-02-26T00:00:00"/>
    <s v="F"/>
    <x v="2"/>
    <x v="1"/>
    <x v="0"/>
    <x v="6"/>
    <n v="5"/>
    <x v="7"/>
    <x v="2"/>
  </r>
  <r>
    <s v="TX501376"/>
    <x v="18"/>
    <x v="1"/>
    <n v="68.099999999999994"/>
    <n v="136.19999999999999"/>
    <x v="51"/>
    <d v="2025-02-22T00:00:00"/>
    <s v="M"/>
    <x v="0"/>
    <x v="1"/>
    <x v="0"/>
    <x v="6"/>
    <n v="1"/>
    <x v="7"/>
    <x v="1"/>
  </r>
  <r>
    <s v="TX501377"/>
    <x v="1"/>
    <x v="0"/>
    <n v="81.7"/>
    <n v="81.7"/>
    <x v="51"/>
    <d v="2025-02-22T00:00:00"/>
    <s v="M"/>
    <x v="0"/>
    <x v="0"/>
    <x v="0"/>
    <x v="7"/>
    <n v="1"/>
    <x v="7"/>
    <x v="1"/>
  </r>
  <r>
    <s v="TX501378"/>
    <x v="18"/>
    <x v="7"/>
    <n v="25.1"/>
    <n v="251"/>
    <x v="51"/>
    <d v="2025-02-24T00:00:00"/>
    <s v="M"/>
    <x v="3"/>
    <x v="1"/>
    <x v="0"/>
    <x v="8"/>
    <n v="3"/>
    <x v="7"/>
    <x v="1"/>
  </r>
  <r>
    <s v="TX501379"/>
    <x v="8"/>
    <x v="0"/>
    <n v="20.2"/>
    <n v="20.2"/>
    <x v="51"/>
    <d v="2025-02-25T00:00:00"/>
    <s v="F"/>
    <x v="0"/>
    <x v="0"/>
    <x v="0"/>
    <x v="8"/>
    <n v="4"/>
    <x v="7"/>
    <x v="2"/>
  </r>
  <r>
    <s v="TX501380"/>
    <x v="8"/>
    <x v="2"/>
    <n v="15.4"/>
    <n v="46.2"/>
    <x v="51"/>
    <d v="2025-02-22T00:00:00"/>
    <s v="M"/>
    <x v="1"/>
    <x v="2"/>
    <x v="0"/>
    <x v="8"/>
    <n v="1"/>
    <x v="7"/>
    <x v="1"/>
  </r>
  <r>
    <s v="TX501381"/>
    <x v="10"/>
    <x v="0"/>
    <n v="59.2"/>
    <n v="59.2"/>
    <x v="51"/>
    <d v="2025-02-22T00:00:00"/>
    <s v="M"/>
    <x v="2"/>
    <x v="2"/>
    <x v="0"/>
    <x v="17"/>
    <n v="1"/>
    <x v="7"/>
    <x v="1"/>
  </r>
  <r>
    <s v="TX501382"/>
    <x v="0"/>
    <x v="0"/>
    <n v="46.7"/>
    <n v="46.7"/>
    <x v="51"/>
    <d v="2025-02-26T00:00:00"/>
    <s v="M"/>
    <x v="0"/>
    <x v="0"/>
    <x v="0"/>
    <x v="17"/>
    <n v="5"/>
    <x v="7"/>
    <x v="1"/>
  </r>
  <r>
    <s v="TX501383"/>
    <x v="6"/>
    <x v="20"/>
    <n v="41.6"/>
    <n v="624"/>
    <x v="51"/>
    <d v="2025-02-23T00:00:00"/>
    <s v="M"/>
    <x v="1"/>
    <x v="0"/>
    <x v="0"/>
    <x v="26"/>
    <n v="2"/>
    <x v="7"/>
    <x v="1"/>
  </r>
  <r>
    <s v="TX501384"/>
    <x v="8"/>
    <x v="1"/>
    <n v="19.2"/>
    <n v="38.4"/>
    <x v="51"/>
    <d v="2025-02-24T00:00:00"/>
    <s v="M"/>
    <x v="4"/>
    <x v="2"/>
    <x v="0"/>
    <x v="9"/>
    <n v="3"/>
    <x v="7"/>
    <x v="1"/>
  </r>
  <r>
    <s v="TX501385"/>
    <x v="17"/>
    <x v="3"/>
    <n v="41.8"/>
    <n v="292.59999999999997"/>
    <x v="51"/>
    <d v="2025-02-23T00:00:00"/>
    <s v="F"/>
    <x v="2"/>
    <x v="0"/>
    <x v="0"/>
    <x v="11"/>
    <n v="2"/>
    <x v="7"/>
    <x v="2"/>
  </r>
  <r>
    <s v="TX501386"/>
    <x v="8"/>
    <x v="13"/>
    <n v="37.4"/>
    <n v="224.39999999999998"/>
    <x v="51"/>
    <d v="2025-02-23T00:00:00"/>
    <s v="M"/>
    <x v="0"/>
    <x v="2"/>
    <x v="0"/>
    <x v="11"/>
    <n v="2"/>
    <x v="7"/>
    <x v="1"/>
  </r>
  <r>
    <s v="TX501387"/>
    <x v="10"/>
    <x v="2"/>
    <n v="60.2"/>
    <n v="180.60000000000002"/>
    <x v="51"/>
    <d v="2025-02-24T00:00:00"/>
    <s v="M"/>
    <x v="4"/>
    <x v="1"/>
    <x v="0"/>
    <x v="38"/>
    <n v="3"/>
    <x v="7"/>
    <x v="1"/>
  </r>
  <r>
    <s v="TX501388"/>
    <x v="9"/>
    <x v="1"/>
    <n v="91.5"/>
    <n v="183"/>
    <x v="52"/>
    <d v="2025-02-23T00:00:00"/>
    <s v="M"/>
    <x v="0"/>
    <x v="0"/>
    <x v="0"/>
    <x v="13"/>
    <n v="1"/>
    <x v="7"/>
    <x v="1"/>
  </r>
  <r>
    <s v="TX501389"/>
    <x v="3"/>
    <x v="9"/>
    <n v="55.7"/>
    <n v="278.5"/>
    <x v="52"/>
    <d v="2025-02-24T00:00:00"/>
    <s v=""/>
    <x v="1"/>
    <x v="2"/>
    <x v="0"/>
    <x v="21"/>
    <n v="2"/>
    <x v="7"/>
    <x v="0"/>
  </r>
  <r>
    <s v="TX501390"/>
    <x v="7"/>
    <x v="1"/>
    <n v="76.7"/>
    <n v="153.4"/>
    <x v="52"/>
    <d v="2025-02-24T00:00:00"/>
    <s v="M"/>
    <x v="0"/>
    <x v="1"/>
    <x v="0"/>
    <x v="21"/>
    <n v="2"/>
    <x v="7"/>
    <x v="1"/>
  </r>
  <r>
    <s v="TX501391"/>
    <x v="8"/>
    <x v="38"/>
    <n v="28.2"/>
    <n v="592.19999999999993"/>
    <x v="52"/>
    <d v="2025-02-27T00:00:00"/>
    <s v="M"/>
    <x v="2"/>
    <x v="0"/>
    <x v="0"/>
    <x v="1"/>
    <n v="5"/>
    <x v="7"/>
    <x v="1"/>
  </r>
  <r>
    <s v="TX501392"/>
    <x v="7"/>
    <x v="9"/>
    <n v="93.2"/>
    <n v="466"/>
    <x v="52"/>
    <d v="2025-02-24T00:00:00"/>
    <s v="F"/>
    <x v="4"/>
    <x v="2"/>
    <x v="0"/>
    <x v="1"/>
    <n v="2"/>
    <x v="7"/>
    <x v="2"/>
  </r>
  <r>
    <s v="TX501393"/>
    <x v="17"/>
    <x v="0"/>
    <n v="33.299999999999997"/>
    <n v="33.299999999999997"/>
    <x v="52"/>
    <d v="2025-02-23T00:00:00"/>
    <s v="M"/>
    <x v="4"/>
    <x v="0"/>
    <x v="0"/>
    <x v="2"/>
    <n v="1"/>
    <x v="7"/>
    <x v="1"/>
  </r>
  <r>
    <s v="TX501394"/>
    <x v="10"/>
    <x v="1"/>
    <n v="39.1"/>
    <n v="78.2"/>
    <x v="52"/>
    <d v="2025-02-25T00:00:00"/>
    <s v="M"/>
    <x v="0"/>
    <x v="0"/>
    <x v="0"/>
    <x v="44"/>
    <n v="3"/>
    <x v="7"/>
    <x v="1"/>
  </r>
  <r>
    <s v="TX501395"/>
    <x v="7"/>
    <x v="4"/>
    <n v="45.3"/>
    <n v="543.59999999999991"/>
    <x v="52"/>
    <d v="2025-02-23T00:00:00"/>
    <s v="M"/>
    <x v="2"/>
    <x v="0"/>
    <x v="0"/>
    <x v="33"/>
    <n v="1"/>
    <x v="7"/>
    <x v="1"/>
  </r>
  <r>
    <s v="TX501396"/>
    <x v="9"/>
    <x v="3"/>
    <n v="33.9"/>
    <n v="237.29999999999998"/>
    <x v="52"/>
    <d v="2025-02-23T00:00:00"/>
    <s v="M"/>
    <x v="4"/>
    <x v="0"/>
    <x v="0"/>
    <x v="33"/>
    <n v="1"/>
    <x v="7"/>
    <x v="1"/>
  </r>
  <r>
    <s v="TX501397"/>
    <x v="8"/>
    <x v="2"/>
    <n v="19"/>
    <n v="57"/>
    <x v="52"/>
    <d v="2025-02-23T00:00:00"/>
    <s v="M"/>
    <x v="0"/>
    <x v="2"/>
    <x v="0"/>
    <x v="15"/>
    <n v="1"/>
    <x v="7"/>
    <x v="1"/>
  </r>
  <r>
    <s v="TX501398"/>
    <x v="4"/>
    <x v="0"/>
    <n v="41.9"/>
    <n v="41.9"/>
    <x v="52"/>
    <d v="2025-02-25T00:00:00"/>
    <s v="F"/>
    <x v="2"/>
    <x v="0"/>
    <x v="0"/>
    <x v="22"/>
    <n v="3"/>
    <x v="7"/>
    <x v="2"/>
  </r>
  <r>
    <s v="TX501399"/>
    <x v="1"/>
    <x v="12"/>
    <n v="37.5"/>
    <n v="150"/>
    <x v="52"/>
    <d v="2025-02-22T00:00:00"/>
    <s v="F"/>
    <x v="0"/>
    <x v="0"/>
    <x v="0"/>
    <x v="3"/>
    <n v="0"/>
    <x v="7"/>
    <x v="2"/>
  </r>
  <r>
    <s v="TX501400"/>
    <x v="0"/>
    <x v="1"/>
    <n v="40.799999999999997"/>
    <n v="81.599999999999994"/>
    <x v="52"/>
    <d v="2025-02-25T00:00:00"/>
    <s v="M"/>
    <x v="0"/>
    <x v="0"/>
    <x v="0"/>
    <x v="3"/>
    <n v="3"/>
    <x v="7"/>
    <x v="1"/>
  </r>
  <r>
    <s v="TX501401"/>
    <x v="0"/>
    <x v="12"/>
    <n v="23.1"/>
    <n v="92.4"/>
    <x v="52"/>
    <d v="2025-02-23T00:00:00"/>
    <s v="F"/>
    <x v="4"/>
    <x v="0"/>
    <x v="0"/>
    <x v="3"/>
    <n v="1"/>
    <x v="7"/>
    <x v="2"/>
  </r>
  <r>
    <s v="TX501402"/>
    <x v="8"/>
    <x v="9"/>
    <n v="39.299999999999997"/>
    <n v="196.5"/>
    <x v="52"/>
    <d v="2025-02-23T00:00:00"/>
    <s v="F"/>
    <x v="0"/>
    <x v="0"/>
    <x v="0"/>
    <x v="3"/>
    <n v="1"/>
    <x v="7"/>
    <x v="2"/>
  </r>
  <r>
    <s v="TX501403"/>
    <x v="2"/>
    <x v="12"/>
    <n v="85.2"/>
    <n v="340.8"/>
    <x v="52"/>
    <d v="2025-02-27T00:00:00"/>
    <s v="M"/>
    <x v="2"/>
    <x v="0"/>
    <x v="0"/>
    <x v="3"/>
    <n v="5"/>
    <x v="7"/>
    <x v="1"/>
  </r>
  <r>
    <s v="TX501404"/>
    <x v="8"/>
    <x v="13"/>
    <n v="16"/>
    <n v="96"/>
    <x v="52"/>
    <d v="2025-02-25T00:00:00"/>
    <s v="M"/>
    <x v="1"/>
    <x v="0"/>
    <x v="0"/>
    <x v="3"/>
    <n v="3"/>
    <x v="7"/>
    <x v="1"/>
  </r>
  <r>
    <s v="TX501405"/>
    <x v="1"/>
    <x v="1"/>
    <n v="33.799999999999997"/>
    <n v="67.599999999999994"/>
    <x v="52"/>
    <d v="2025-02-26T00:00:00"/>
    <s v="F"/>
    <x v="1"/>
    <x v="0"/>
    <x v="0"/>
    <x v="3"/>
    <n v="4"/>
    <x v="7"/>
    <x v="2"/>
  </r>
  <r>
    <s v="TX501406"/>
    <x v="3"/>
    <x v="0"/>
    <n v="70"/>
    <n v="70"/>
    <x v="52"/>
    <d v="2025-02-23T00:00:00"/>
    <s v="F"/>
    <x v="0"/>
    <x v="0"/>
    <x v="0"/>
    <x v="3"/>
    <n v="1"/>
    <x v="7"/>
    <x v="2"/>
  </r>
  <r>
    <s v="TX501407"/>
    <x v="9"/>
    <x v="0"/>
    <n v="88"/>
    <n v="88"/>
    <x v="52"/>
    <d v="2025-02-27T00:00:00"/>
    <s v="F"/>
    <x v="3"/>
    <x v="0"/>
    <x v="0"/>
    <x v="3"/>
    <n v="5"/>
    <x v="7"/>
    <x v="2"/>
  </r>
  <r>
    <s v="TX501408"/>
    <x v="2"/>
    <x v="2"/>
    <n v="74.099999999999994"/>
    <n v="222.29999999999998"/>
    <x v="52"/>
    <d v="2025-02-22T00:00:00"/>
    <s v="M"/>
    <x v="4"/>
    <x v="1"/>
    <x v="0"/>
    <x v="3"/>
    <n v="0"/>
    <x v="7"/>
    <x v="1"/>
  </r>
  <r>
    <s v="TX501409"/>
    <x v="2"/>
    <x v="0"/>
    <n v="161.9"/>
    <n v="161.9"/>
    <x v="52"/>
    <d v="2025-02-24T00:00:00"/>
    <s v="M"/>
    <x v="2"/>
    <x v="0"/>
    <x v="0"/>
    <x v="3"/>
    <n v="2"/>
    <x v="7"/>
    <x v="1"/>
  </r>
  <r>
    <s v="TX501410"/>
    <x v="4"/>
    <x v="1"/>
    <n v="44"/>
    <n v="88"/>
    <x v="52"/>
    <d v="2025-02-23T00:00:00"/>
    <s v="O"/>
    <x v="4"/>
    <x v="1"/>
    <x v="0"/>
    <x v="3"/>
    <n v="1"/>
    <x v="7"/>
    <x v="3"/>
  </r>
  <r>
    <s v="TX501411"/>
    <x v="11"/>
    <x v="0"/>
    <n v="32.1"/>
    <n v="32.1"/>
    <x v="52"/>
    <d v="2025-02-22T00:00:00"/>
    <s v="F"/>
    <x v="3"/>
    <x v="3"/>
    <x v="0"/>
    <x v="3"/>
    <n v="0"/>
    <x v="7"/>
    <x v="2"/>
  </r>
  <r>
    <s v="TX501412"/>
    <x v="2"/>
    <x v="12"/>
    <n v="104.8"/>
    <n v="419.2"/>
    <x v="53"/>
    <d v="2025-02-25T00:00:00"/>
    <s v="O"/>
    <x v="0"/>
    <x v="0"/>
    <x v="0"/>
    <x v="3"/>
    <n v="2"/>
    <x v="8"/>
    <x v="3"/>
  </r>
  <r>
    <s v="TX501413"/>
    <x v="9"/>
    <x v="13"/>
    <n v="67.400000000000006"/>
    <n v="404.40000000000003"/>
    <x v="53"/>
    <d v="2025-02-24T00:00:00"/>
    <s v="F"/>
    <x v="3"/>
    <x v="0"/>
    <x v="0"/>
    <x v="3"/>
    <n v="1"/>
    <x v="8"/>
    <x v="2"/>
  </r>
  <r>
    <s v="TX501414"/>
    <x v="6"/>
    <x v="1"/>
    <n v="115.2"/>
    <n v="230.4"/>
    <x v="53"/>
    <d v="2025-02-24T00:00:00"/>
    <s v="F"/>
    <x v="1"/>
    <x v="0"/>
    <x v="0"/>
    <x v="4"/>
    <n v="1"/>
    <x v="8"/>
    <x v="2"/>
  </r>
  <r>
    <s v="TX501415"/>
    <x v="8"/>
    <x v="19"/>
    <n v="15.5"/>
    <n v="449.5"/>
    <x v="53"/>
    <d v="2025-02-25T00:00:00"/>
    <s v="F"/>
    <x v="0"/>
    <x v="1"/>
    <x v="0"/>
    <x v="23"/>
    <n v="2"/>
    <x v="8"/>
    <x v="2"/>
  </r>
  <r>
    <s v="TX501416"/>
    <x v="6"/>
    <x v="5"/>
    <n v="66.400000000000006"/>
    <n v="730.40000000000009"/>
    <x v="53"/>
    <d v="2025-02-25T00:00:00"/>
    <s v="F"/>
    <x v="0"/>
    <x v="0"/>
    <x v="0"/>
    <x v="6"/>
    <n v="2"/>
    <x v="8"/>
    <x v="2"/>
  </r>
  <r>
    <s v="TX501417"/>
    <x v="9"/>
    <x v="4"/>
    <n v="68.099999999999994"/>
    <n v="817.19999999999993"/>
    <x v="53"/>
    <d v="2025-02-24T00:00:00"/>
    <s v="F"/>
    <x v="2"/>
    <x v="0"/>
    <x v="0"/>
    <x v="8"/>
    <n v="1"/>
    <x v="8"/>
    <x v="2"/>
  </r>
  <r>
    <s v="TX501418"/>
    <x v="8"/>
    <x v="9"/>
    <n v="32.5"/>
    <n v="162.5"/>
    <x v="53"/>
    <d v="2025-02-27T00:00:00"/>
    <s v="M"/>
    <x v="2"/>
    <x v="1"/>
    <x v="0"/>
    <x v="8"/>
    <n v="4"/>
    <x v="8"/>
    <x v="1"/>
  </r>
  <r>
    <s v="TX501419"/>
    <x v="15"/>
    <x v="2"/>
    <n v="61.2"/>
    <n v="183.60000000000002"/>
    <x v="53"/>
    <d v="2025-02-25T00:00:00"/>
    <s v="F"/>
    <x v="1"/>
    <x v="1"/>
    <x v="0"/>
    <x v="8"/>
    <n v="2"/>
    <x v="8"/>
    <x v="2"/>
  </r>
  <r>
    <s v="TX501420"/>
    <x v="9"/>
    <x v="1"/>
    <n v="54.2"/>
    <n v="108.4"/>
    <x v="53"/>
    <d v="2025-02-24T00:00:00"/>
    <s v="F"/>
    <x v="1"/>
    <x v="0"/>
    <x v="0"/>
    <x v="8"/>
    <n v="1"/>
    <x v="8"/>
    <x v="2"/>
  </r>
  <r>
    <s v="TX501421"/>
    <x v="11"/>
    <x v="8"/>
    <n v="28.7"/>
    <n v="229.6"/>
    <x v="53"/>
    <d v="2025-02-25T00:00:00"/>
    <s v="M"/>
    <x v="1"/>
    <x v="0"/>
    <x v="0"/>
    <x v="9"/>
    <n v="2"/>
    <x v="8"/>
    <x v="1"/>
  </r>
  <r>
    <s v="TX501422"/>
    <x v="12"/>
    <x v="13"/>
    <n v="38.200000000000003"/>
    <n v="229.20000000000002"/>
    <x v="53"/>
    <d v="2025-02-27T00:00:00"/>
    <s v="F"/>
    <x v="0"/>
    <x v="1"/>
    <x v="0"/>
    <x v="9"/>
    <n v="4"/>
    <x v="8"/>
    <x v="2"/>
  </r>
  <r>
    <s v="TX501423"/>
    <x v="8"/>
    <x v="4"/>
    <n v="17.600000000000001"/>
    <n v="211.20000000000002"/>
    <x v="53"/>
    <d v="2025-02-24T00:00:00"/>
    <s v="F"/>
    <x v="2"/>
    <x v="1"/>
    <x v="0"/>
    <x v="9"/>
    <n v="1"/>
    <x v="8"/>
    <x v="2"/>
  </r>
  <r>
    <s v="TX501424"/>
    <x v="10"/>
    <x v="2"/>
    <n v="74.599999999999994"/>
    <n v="223.79999999999998"/>
    <x v="53"/>
    <d v="2025-02-23T00:00:00"/>
    <s v="F"/>
    <x v="2"/>
    <x v="0"/>
    <x v="0"/>
    <x v="11"/>
    <n v="0"/>
    <x v="8"/>
    <x v="2"/>
  </r>
  <r>
    <s v="TX501425"/>
    <x v="16"/>
    <x v="20"/>
    <n v="72.599999999999994"/>
    <n v="1089"/>
    <x v="53"/>
    <d v="2025-02-23T00:00:00"/>
    <s v=""/>
    <x v="1"/>
    <x v="1"/>
    <x v="0"/>
    <x v="11"/>
    <n v="0"/>
    <x v="8"/>
    <x v="0"/>
  </r>
  <r>
    <s v="TX501426"/>
    <x v="7"/>
    <x v="0"/>
    <n v="62.3"/>
    <n v="62.3"/>
    <x v="53"/>
    <d v="2025-02-24T00:00:00"/>
    <s v="F"/>
    <x v="1"/>
    <x v="0"/>
    <x v="0"/>
    <x v="11"/>
    <n v="1"/>
    <x v="8"/>
    <x v="2"/>
  </r>
  <r>
    <s v="TX501427"/>
    <x v="3"/>
    <x v="2"/>
    <n v="33.799999999999997"/>
    <n v="101.39999999999999"/>
    <x v="53"/>
    <d v="2025-02-25T00:00:00"/>
    <s v="M"/>
    <x v="0"/>
    <x v="2"/>
    <x v="0"/>
    <x v="20"/>
    <n v="2"/>
    <x v="8"/>
    <x v="1"/>
  </r>
  <r>
    <s v="TX501428"/>
    <x v="9"/>
    <x v="0"/>
    <n v="85.7"/>
    <n v="85.7"/>
    <x v="53"/>
    <d v="2025-02-26T00:00:00"/>
    <s v="M"/>
    <x v="3"/>
    <x v="1"/>
    <x v="0"/>
    <x v="21"/>
    <n v="3"/>
    <x v="8"/>
    <x v="1"/>
  </r>
  <r>
    <s v="TX501429"/>
    <x v="6"/>
    <x v="1"/>
    <n v="92.1"/>
    <n v="184.2"/>
    <x v="53"/>
    <d v="2025-02-25T00:00:00"/>
    <s v="M"/>
    <x v="1"/>
    <x v="0"/>
    <x v="0"/>
    <x v="21"/>
    <n v="2"/>
    <x v="8"/>
    <x v="1"/>
  </r>
  <r>
    <s v="TX501430"/>
    <x v="16"/>
    <x v="2"/>
    <n v="65.099999999999994"/>
    <n v="195.29999999999998"/>
    <x v="53"/>
    <d v="2025-02-26T00:00:00"/>
    <s v="M"/>
    <x v="0"/>
    <x v="0"/>
    <x v="0"/>
    <x v="1"/>
    <n v="3"/>
    <x v="8"/>
    <x v="1"/>
  </r>
  <r>
    <s v="TX501431"/>
    <x v="9"/>
    <x v="3"/>
    <n v="20.3"/>
    <n v="142.1"/>
    <x v="53"/>
    <d v="2025-02-24T00:00:00"/>
    <s v="F"/>
    <x v="2"/>
    <x v="2"/>
    <x v="0"/>
    <x v="2"/>
    <n v="1"/>
    <x v="8"/>
    <x v="2"/>
  </r>
  <r>
    <s v="TX501432"/>
    <x v="19"/>
    <x v="1"/>
    <n v="29.8"/>
    <n v="59.6"/>
    <x v="53"/>
    <d v="2025-02-25T00:00:00"/>
    <s v="F"/>
    <x v="1"/>
    <x v="2"/>
    <x v="0"/>
    <x v="34"/>
    <n v="2"/>
    <x v="8"/>
    <x v="2"/>
  </r>
  <r>
    <s v="TX501433"/>
    <x v="0"/>
    <x v="1"/>
    <n v="24.2"/>
    <n v="48.4"/>
    <x v="53"/>
    <d v="2025-02-25T00:00:00"/>
    <s v="F"/>
    <x v="3"/>
    <x v="2"/>
    <x v="0"/>
    <x v="3"/>
    <n v="2"/>
    <x v="8"/>
    <x v="2"/>
  </r>
  <r>
    <s v="TX501434"/>
    <x v="3"/>
    <x v="0"/>
    <n v="57.3"/>
    <n v="57.3"/>
    <x v="53"/>
    <d v="2025-02-25T00:00:00"/>
    <s v="M"/>
    <x v="0"/>
    <x v="0"/>
    <x v="0"/>
    <x v="3"/>
    <n v="2"/>
    <x v="8"/>
    <x v="1"/>
  </r>
  <r>
    <s v="TX501435"/>
    <x v="2"/>
    <x v="0"/>
    <n v="108.9"/>
    <n v="108.9"/>
    <x v="53"/>
    <d v="2025-02-25T00:00:00"/>
    <s v="F"/>
    <x v="1"/>
    <x v="0"/>
    <x v="0"/>
    <x v="3"/>
    <n v="2"/>
    <x v="8"/>
    <x v="2"/>
  </r>
  <r>
    <s v="TX501436"/>
    <x v="7"/>
    <x v="9"/>
    <n v="50.7"/>
    <n v="253.5"/>
    <x v="53"/>
    <d v="2025-02-24T00:00:00"/>
    <s v="F"/>
    <x v="0"/>
    <x v="0"/>
    <x v="0"/>
    <x v="3"/>
    <n v="1"/>
    <x v="8"/>
    <x v="2"/>
  </r>
  <r>
    <s v="TX501437"/>
    <x v="7"/>
    <x v="11"/>
    <n v="66.099999999999994"/>
    <n v="594.9"/>
    <x v="53"/>
    <d v="2025-03-09T00:00:00"/>
    <s v="F"/>
    <x v="1"/>
    <x v="0"/>
    <x v="0"/>
    <x v="3"/>
    <n v="14"/>
    <x v="8"/>
    <x v="2"/>
  </r>
  <r>
    <s v="TX501438"/>
    <x v="12"/>
    <x v="9"/>
    <n v="36.700000000000003"/>
    <n v="183.5"/>
    <x v="53"/>
    <d v="2025-02-27T00:00:00"/>
    <s v="F"/>
    <x v="4"/>
    <x v="0"/>
    <x v="0"/>
    <x v="3"/>
    <n v="4"/>
    <x v="8"/>
    <x v="2"/>
  </r>
  <r>
    <s v="TX501439"/>
    <x v="8"/>
    <x v="14"/>
    <n v="19.3"/>
    <n v="328.1"/>
    <x v="53"/>
    <d v="2025-02-25T00:00:00"/>
    <s v="M"/>
    <x v="0"/>
    <x v="0"/>
    <x v="0"/>
    <x v="43"/>
    <n v="2"/>
    <x v="8"/>
    <x v="1"/>
  </r>
  <r>
    <s v="TX501440"/>
    <x v="8"/>
    <x v="12"/>
    <n v="20.7"/>
    <n v="82.8"/>
    <x v="53"/>
    <d v="2025-02-24T00:00:00"/>
    <s v="M"/>
    <x v="1"/>
    <x v="2"/>
    <x v="0"/>
    <x v="6"/>
    <n v="1"/>
    <x v="8"/>
    <x v="1"/>
  </r>
  <r>
    <s v="TX501441"/>
    <x v="5"/>
    <x v="2"/>
    <n v="54.7"/>
    <n v="164.10000000000002"/>
    <x v="53"/>
    <d v="2025-02-23T00:00:00"/>
    <s v="O"/>
    <x v="1"/>
    <x v="4"/>
    <x v="0"/>
    <x v="6"/>
    <n v="0"/>
    <x v="8"/>
    <x v="3"/>
  </r>
  <r>
    <s v="TX501442"/>
    <x v="4"/>
    <x v="1"/>
    <n v="19.8"/>
    <n v="39.6"/>
    <x v="53"/>
    <d v="2025-02-27T00:00:00"/>
    <s v="F"/>
    <x v="4"/>
    <x v="1"/>
    <x v="0"/>
    <x v="8"/>
    <n v="4"/>
    <x v="8"/>
    <x v="2"/>
  </r>
  <r>
    <s v="TX501443"/>
    <x v="7"/>
    <x v="0"/>
    <n v="41.1"/>
    <n v="41.1"/>
    <x v="53"/>
    <d v="2025-02-25T00:00:00"/>
    <s v="F"/>
    <x v="0"/>
    <x v="2"/>
    <x v="0"/>
    <x v="8"/>
    <n v="2"/>
    <x v="8"/>
    <x v="2"/>
  </r>
  <r>
    <s v="TX501444"/>
    <x v="11"/>
    <x v="8"/>
    <n v="43.5"/>
    <n v="348"/>
    <x v="53"/>
    <d v="2025-02-27T00:00:00"/>
    <s v="F"/>
    <x v="3"/>
    <x v="0"/>
    <x v="0"/>
    <x v="8"/>
    <n v="4"/>
    <x v="8"/>
    <x v="2"/>
  </r>
  <r>
    <s v="TX501445"/>
    <x v="8"/>
    <x v="21"/>
    <n v="19"/>
    <n v="266"/>
    <x v="53"/>
    <d v="2025-02-24T00:00:00"/>
    <s v="M"/>
    <x v="0"/>
    <x v="0"/>
    <x v="0"/>
    <x v="26"/>
    <n v="1"/>
    <x v="8"/>
    <x v="1"/>
  </r>
  <r>
    <s v="TX501446"/>
    <x v="2"/>
    <x v="12"/>
    <n v="51.4"/>
    <n v="205.6"/>
    <x v="53"/>
    <d v="2025-02-23T00:00:00"/>
    <s v="F"/>
    <x v="0"/>
    <x v="0"/>
    <x v="0"/>
    <x v="26"/>
    <n v="0"/>
    <x v="8"/>
    <x v="2"/>
  </r>
  <r>
    <s v="TX501447"/>
    <x v="10"/>
    <x v="1"/>
    <n v="39.799999999999997"/>
    <n v="79.599999999999994"/>
    <x v="53"/>
    <d v="2025-02-26T00:00:00"/>
    <s v="M"/>
    <x v="3"/>
    <x v="1"/>
    <x v="0"/>
    <x v="13"/>
    <n v="3"/>
    <x v="8"/>
    <x v="1"/>
  </r>
  <r>
    <s v="TX501448"/>
    <x v="6"/>
    <x v="9"/>
    <n v="61"/>
    <n v="305"/>
    <x v="53"/>
    <d v="2025-02-24T00:00:00"/>
    <s v=""/>
    <x v="0"/>
    <x v="2"/>
    <x v="0"/>
    <x v="21"/>
    <n v="1"/>
    <x v="8"/>
    <x v="0"/>
  </r>
  <r>
    <s v="TX501449"/>
    <x v="8"/>
    <x v="5"/>
    <n v="15.1"/>
    <n v="166.1"/>
    <x v="54"/>
    <d v="2025-03-01T00:00:00"/>
    <s v="M"/>
    <x v="3"/>
    <x v="2"/>
    <x v="0"/>
    <x v="2"/>
    <n v="5"/>
    <x v="8"/>
    <x v="1"/>
  </r>
  <r>
    <s v="TX501450"/>
    <x v="1"/>
    <x v="3"/>
    <n v="71.3"/>
    <n v="499.09999999999997"/>
    <x v="54"/>
    <d v="2025-02-25T00:00:00"/>
    <s v="M"/>
    <x v="4"/>
    <x v="0"/>
    <x v="0"/>
    <x v="3"/>
    <n v="1"/>
    <x v="8"/>
    <x v="1"/>
  </r>
  <r>
    <s v="TX501451"/>
    <x v="10"/>
    <x v="0"/>
    <n v="25.8"/>
    <n v="25.8"/>
    <x v="54"/>
    <d v="2025-02-26T00:00:00"/>
    <s v="F"/>
    <x v="0"/>
    <x v="2"/>
    <x v="0"/>
    <x v="3"/>
    <n v="2"/>
    <x v="8"/>
    <x v="2"/>
  </r>
  <r>
    <s v="TX501452"/>
    <x v="8"/>
    <x v="9"/>
    <n v="39.6"/>
    <n v="198"/>
    <x v="54"/>
    <d v="2025-02-26T00:00:00"/>
    <s v="M"/>
    <x v="1"/>
    <x v="2"/>
    <x v="0"/>
    <x v="3"/>
    <n v="2"/>
    <x v="8"/>
    <x v="1"/>
  </r>
  <r>
    <s v="TX501453"/>
    <x v="5"/>
    <x v="1"/>
    <n v="64"/>
    <n v="128"/>
    <x v="54"/>
    <d v="2025-02-24T00:00:00"/>
    <s v="M"/>
    <x v="1"/>
    <x v="1"/>
    <x v="0"/>
    <x v="3"/>
    <n v="0"/>
    <x v="8"/>
    <x v="1"/>
  </r>
  <r>
    <s v="TX501454"/>
    <x v="8"/>
    <x v="1"/>
    <n v="30.6"/>
    <n v="61.2"/>
    <x v="54"/>
    <d v="2025-02-27T00:00:00"/>
    <s v="M"/>
    <x v="0"/>
    <x v="2"/>
    <x v="0"/>
    <x v="3"/>
    <n v="3"/>
    <x v="8"/>
    <x v="1"/>
  </r>
  <r>
    <s v="TX501455"/>
    <x v="8"/>
    <x v="1"/>
    <n v="21.3"/>
    <n v="42.6"/>
    <x v="54"/>
    <d v="2025-02-25T00:00:00"/>
    <s v="M"/>
    <x v="0"/>
    <x v="1"/>
    <x v="0"/>
    <x v="3"/>
    <n v="1"/>
    <x v="8"/>
    <x v="1"/>
  </r>
  <r>
    <s v="TX501456"/>
    <x v="7"/>
    <x v="0"/>
    <n v="40.799999999999997"/>
    <n v="40.799999999999997"/>
    <x v="54"/>
    <d v="2025-02-26T00:00:00"/>
    <s v="F"/>
    <x v="4"/>
    <x v="0"/>
    <x v="0"/>
    <x v="3"/>
    <n v="2"/>
    <x v="8"/>
    <x v="2"/>
  </r>
  <r>
    <s v="TX501457"/>
    <x v="9"/>
    <x v="12"/>
    <n v="27.7"/>
    <n v="110.8"/>
    <x v="54"/>
    <d v="2025-02-25T00:00:00"/>
    <s v="F"/>
    <x v="0"/>
    <x v="1"/>
    <x v="0"/>
    <x v="3"/>
    <n v="1"/>
    <x v="8"/>
    <x v="2"/>
  </r>
  <r>
    <s v="TX501458"/>
    <x v="6"/>
    <x v="1"/>
    <n v="64.599999999999994"/>
    <n v="129.19999999999999"/>
    <x v="54"/>
    <d v="2025-02-25T00:00:00"/>
    <s v="M"/>
    <x v="0"/>
    <x v="1"/>
    <x v="0"/>
    <x v="3"/>
    <n v="1"/>
    <x v="8"/>
    <x v="1"/>
  </r>
  <r>
    <s v="TX501459"/>
    <x v="6"/>
    <x v="27"/>
    <n v="91.1"/>
    <n v="1457.6"/>
    <x v="54"/>
    <d v="2025-02-25T00:00:00"/>
    <s v="F"/>
    <x v="1"/>
    <x v="2"/>
    <x v="0"/>
    <x v="3"/>
    <n v="1"/>
    <x v="8"/>
    <x v="2"/>
  </r>
  <r>
    <s v="TX501460"/>
    <x v="1"/>
    <x v="0"/>
    <n v="39.5"/>
    <n v="39.5"/>
    <x v="54"/>
    <d v="2025-03-04T00:00:00"/>
    <s v="F"/>
    <x v="0"/>
    <x v="0"/>
    <x v="0"/>
    <x v="3"/>
    <n v="8"/>
    <x v="8"/>
    <x v="2"/>
  </r>
  <r>
    <s v="TX501461"/>
    <x v="9"/>
    <x v="1"/>
    <n v="21.8"/>
    <n v="43.6"/>
    <x v="54"/>
    <d v="2025-02-28T00:00:00"/>
    <s v="M"/>
    <x v="4"/>
    <x v="2"/>
    <x v="0"/>
    <x v="3"/>
    <n v="4"/>
    <x v="8"/>
    <x v="1"/>
  </r>
  <r>
    <s v="TX501462"/>
    <x v="8"/>
    <x v="1"/>
    <n v="51"/>
    <n v="102"/>
    <x v="54"/>
    <d v="2025-02-27T00:00:00"/>
    <s v="M"/>
    <x v="3"/>
    <x v="2"/>
    <x v="0"/>
    <x v="3"/>
    <n v="3"/>
    <x v="8"/>
    <x v="1"/>
  </r>
  <r>
    <s v="TX501463"/>
    <x v="2"/>
    <x v="0"/>
    <n v="92.6"/>
    <n v="92.6"/>
    <x v="54"/>
    <d v="2025-02-27T00:00:00"/>
    <s v="F"/>
    <x v="0"/>
    <x v="2"/>
    <x v="0"/>
    <x v="35"/>
    <n v="3"/>
    <x v="8"/>
    <x v="2"/>
  </r>
  <r>
    <s v="TX501464"/>
    <x v="9"/>
    <x v="1"/>
    <n v="31.1"/>
    <n v="62.2"/>
    <x v="54"/>
    <d v="2025-03-01T00:00:00"/>
    <s v=""/>
    <x v="1"/>
    <x v="3"/>
    <x v="0"/>
    <x v="23"/>
    <n v="5"/>
    <x v="8"/>
    <x v="0"/>
  </r>
  <r>
    <s v="TX501465"/>
    <x v="5"/>
    <x v="2"/>
    <n v="56.4"/>
    <n v="169.2"/>
    <x v="54"/>
    <d v="2025-02-25T00:00:00"/>
    <s v=""/>
    <x v="1"/>
    <x v="0"/>
    <x v="0"/>
    <x v="6"/>
    <n v="1"/>
    <x v="8"/>
    <x v="0"/>
  </r>
  <r>
    <s v="TX501466"/>
    <x v="9"/>
    <x v="0"/>
    <n v="41.9"/>
    <n v="41.9"/>
    <x v="54"/>
    <d v="2025-02-24T00:00:00"/>
    <s v="M"/>
    <x v="1"/>
    <x v="0"/>
    <x v="0"/>
    <x v="6"/>
    <n v="0"/>
    <x v="8"/>
    <x v="1"/>
  </r>
  <r>
    <s v="TX501467"/>
    <x v="10"/>
    <x v="3"/>
    <n v="45.9"/>
    <n v="321.3"/>
    <x v="54"/>
    <d v="2025-02-25T00:00:00"/>
    <s v="M"/>
    <x v="3"/>
    <x v="2"/>
    <x v="0"/>
    <x v="8"/>
    <n v="1"/>
    <x v="8"/>
    <x v="1"/>
  </r>
  <r>
    <s v="TX501468"/>
    <x v="14"/>
    <x v="11"/>
    <n v="24.4"/>
    <n v="219.6"/>
    <x v="54"/>
    <d v="2025-02-28T00:00:00"/>
    <s v="M"/>
    <x v="3"/>
    <x v="2"/>
    <x v="0"/>
    <x v="8"/>
    <n v="4"/>
    <x v="8"/>
    <x v="1"/>
  </r>
  <r>
    <s v="TX501469"/>
    <x v="8"/>
    <x v="0"/>
    <n v="18.2"/>
    <n v="18.2"/>
    <x v="54"/>
    <d v="2025-02-25T00:00:00"/>
    <s v="F"/>
    <x v="2"/>
    <x v="2"/>
    <x v="0"/>
    <x v="8"/>
    <n v="1"/>
    <x v="8"/>
    <x v="2"/>
  </r>
  <r>
    <s v="TX501470"/>
    <x v="8"/>
    <x v="12"/>
    <n v="51.2"/>
    <n v="204.8"/>
    <x v="54"/>
    <d v="2025-02-25T00:00:00"/>
    <s v="F"/>
    <x v="0"/>
    <x v="0"/>
    <x v="0"/>
    <x v="8"/>
    <n v="1"/>
    <x v="8"/>
    <x v="2"/>
  </r>
  <r>
    <s v="TX501471"/>
    <x v="6"/>
    <x v="0"/>
    <n v="59.7"/>
    <n v="59.7"/>
    <x v="54"/>
    <d v="2025-02-27T00:00:00"/>
    <s v="M"/>
    <x v="0"/>
    <x v="2"/>
    <x v="0"/>
    <x v="8"/>
    <n v="3"/>
    <x v="8"/>
    <x v="1"/>
  </r>
  <r>
    <s v="TX501472"/>
    <x v="4"/>
    <x v="1"/>
    <n v="33.6"/>
    <n v="67.2"/>
    <x v="54"/>
    <d v="2025-02-26T00:00:00"/>
    <s v="F"/>
    <x v="0"/>
    <x v="0"/>
    <x v="0"/>
    <x v="17"/>
    <n v="2"/>
    <x v="8"/>
    <x v="2"/>
  </r>
  <r>
    <s v="TX501473"/>
    <x v="12"/>
    <x v="0"/>
    <n v="90.4"/>
    <n v="90.4"/>
    <x v="54"/>
    <d v="2025-02-28T00:00:00"/>
    <s v="M"/>
    <x v="1"/>
    <x v="2"/>
    <x v="0"/>
    <x v="10"/>
    <n v="4"/>
    <x v="8"/>
    <x v="1"/>
  </r>
  <r>
    <s v="TX501474"/>
    <x v="11"/>
    <x v="2"/>
    <n v="70.3"/>
    <n v="210.89999999999998"/>
    <x v="54"/>
    <d v="2025-02-24T00:00:00"/>
    <s v="M"/>
    <x v="1"/>
    <x v="2"/>
    <x v="0"/>
    <x v="11"/>
    <n v="0"/>
    <x v="8"/>
    <x v="1"/>
  </r>
  <r>
    <s v="TX501475"/>
    <x v="4"/>
    <x v="1"/>
    <n v="20.5"/>
    <n v="41"/>
    <x v="54"/>
    <d v="2025-02-27T00:00:00"/>
    <s v="F"/>
    <x v="0"/>
    <x v="1"/>
    <x v="0"/>
    <x v="11"/>
    <n v="3"/>
    <x v="8"/>
    <x v="2"/>
  </r>
  <r>
    <s v="TX501476"/>
    <x v="5"/>
    <x v="5"/>
    <n v="37.6"/>
    <n v="413.6"/>
    <x v="54"/>
    <d v="2025-02-25T00:00:00"/>
    <s v="M"/>
    <x v="0"/>
    <x v="0"/>
    <x v="0"/>
    <x v="38"/>
    <n v="1"/>
    <x v="8"/>
    <x v="1"/>
  </r>
  <r>
    <s v="TX501477"/>
    <x v="5"/>
    <x v="12"/>
    <n v="61.5"/>
    <n v="246"/>
    <x v="54"/>
    <d v="2025-03-03T00:00:00"/>
    <s v="F"/>
    <x v="1"/>
    <x v="4"/>
    <x v="0"/>
    <x v="13"/>
    <n v="7"/>
    <x v="8"/>
    <x v="2"/>
  </r>
  <r>
    <s v="TX501478"/>
    <x v="9"/>
    <x v="0"/>
    <n v="33.5"/>
    <n v="33.5"/>
    <x v="55"/>
    <d v="2025-03-01T00:00:00"/>
    <s v="M"/>
    <x v="4"/>
    <x v="1"/>
    <x v="0"/>
    <x v="21"/>
    <n v="4"/>
    <x v="8"/>
    <x v="1"/>
  </r>
  <r>
    <s v="TX501479"/>
    <x v="4"/>
    <x v="2"/>
    <n v="29.3"/>
    <n v="87.9"/>
    <x v="55"/>
    <d v="2025-02-27T00:00:00"/>
    <s v="F"/>
    <x v="1"/>
    <x v="2"/>
    <x v="0"/>
    <x v="1"/>
    <n v="2"/>
    <x v="8"/>
    <x v="2"/>
  </r>
  <r>
    <s v="TX501480"/>
    <x v="2"/>
    <x v="1"/>
    <n v="125.9"/>
    <n v="251.8"/>
    <x v="55"/>
    <d v="2025-03-02T00:00:00"/>
    <s v="F"/>
    <x v="4"/>
    <x v="1"/>
    <x v="0"/>
    <x v="1"/>
    <n v="5"/>
    <x v="8"/>
    <x v="2"/>
  </r>
  <r>
    <s v="TX501481"/>
    <x v="5"/>
    <x v="9"/>
    <n v="29.3"/>
    <n v="146.5"/>
    <x v="55"/>
    <d v="2025-02-25T00:00:00"/>
    <s v="M"/>
    <x v="2"/>
    <x v="0"/>
    <x v="0"/>
    <x v="44"/>
    <n v="0"/>
    <x v="8"/>
    <x v="1"/>
  </r>
  <r>
    <s v="TX501482"/>
    <x v="9"/>
    <x v="0"/>
    <n v="37.799999999999997"/>
    <n v="37.799999999999997"/>
    <x v="55"/>
    <d v="2025-02-28T00:00:00"/>
    <s v="F"/>
    <x v="0"/>
    <x v="2"/>
    <x v="0"/>
    <x v="3"/>
    <n v="3"/>
    <x v="8"/>
    <x v="2"/>
  </r>
  <r>
    <s v="TX501483"/>
    <x v="0"/>
    <x v="12"/>
    <n v="31.7"/>
    <n v="126.8"/>
    <x v="55"/>
    <d v="2025-02-26T00:00:00"/>
    <s v="M"/>
    <x v="2"/>
    <x v="2"/>
    <x v="0"/>
    <x v="3"/>
    <n v="1"/>
    <x v="8"/>
    <x v="1"/>
  </r>
  <r>
    <s v="TX501484"/>
    <x v="8"/>
    <x v="9"/>
    <n v="26.3"/>
    <n v="131.5"/>
    <x v="55"/>
    <d v="2025-02-26T00:00:00"/>
    <s v="F"/>
    <x v="3"/>
    <x v="2"/>
    <x v="0"/>
    <x v="3"/>
    <n v="1"/>
    <x v="8"/>
    <x v="2"/>
  </r>
  <r>
    <s v="TX501485"/>
    <x v="8"/>
    <x v="2"/>
    <n v="23.1"/>
    <n v="69.300000000000011"/>
    <x v="55"/>
    <d v="2025-02-26T00:00:00"/>
    <s v="O"/>
    <x v="2"/>
    <x v="1"/>
    <x v="0"/>
    <x v="3"/>
    <n v="1"/>
    <x v="8"/>
    <x v="3"/>
  </r>
  <r>
    <s v="TX501486"/>
    <x v="4"/>
    <x v="0"/>
    <n v="22.3"/>
    <n v="22.3"/>
    <x v="55"/>
    <d v="2025-02-27T00:00:00"/>
    <s v="F"/>
    <x v="2"/>
    <x v="0"/>
    <x v="0"/>
    <x v="3"/>
    <n v="2"/>
    <x v="8"/>
    <x v="2"/>
  </r>
  <r>
    <s v="TX501487"/>
    <x v="12"/>
    <x v="1"/>
    <n v="99.5"/>
    <n v="199"/>
    <x v="55"/>
    <d v="2025-02-27T00:00:00"/>
    <s v="F"/>
    <x v="2"/>
    <x v="0"/>
    <x v="0"/>
    <x v="3"/>
    <n v="2"/>
    <x v="8"/>
    <x v="2"/>
  </r>
  <r>
    <s v="TX501488"/>
    <x v="12"/>
    <x v="12"/>
    <n v="47.4"/>
    <n v="189.6"/>
    <x v="55"/>
    <d v="2025-02-28T00:00:00"/>
    <s v="F"/>
    <x v="1"/>
    <x v="0"/>
    <x v="0"/>
    <x v="3"/>
    <n v="3"/>
    <x v="8"/>
    <x v="2"/>
  </r>
  <r>
    <s v="TX501489"/>
    <x v="0"/>
    <x v="5"/>
    <n v="37.5"/>
    <n v="412.5"/>
    <x v="55"/>
    <d v="2025-02-27T00:00:00"/>
    <s v="F"/>
    <x v="0"/>
    <x v="3"/>
    <x v="0"/>
    <x v="3"/>
    <n v="2"/>
    <x v="8"/>
    <x v="2"/>
  </r>
  <r>
    <s v="TX501490"/>
    <x v="10"/>
    <x v="0"/>
    <n v="45.1"/>
    <n v="45.1"/>
    <x v="55"/>
    <d v="2025-03-02T00:00:00"/>
    <s v="M"/>
    <x v="3"/>
    <x v="2"/>
    <x v="0"/>
    <x v="24"/>
    <n v="5"/>
    <x v="8"/>
    <x v="1"/>
  </r>
  <r>
    <s v="TX501491"/>
    <x v="5"/>
    <x v="7"/>
    <n v="34.4"/>
    <n v="344"/>
    <x v="55"/>
    <d v="2025-02-28T00:00:00"/>
    <s v="M"/>
    <x v="2"/>
    <x v="0"/>
    <x v="0"/>
    <x v="16"/>
    <n v="3"/>
    <x v="8"/>
    <x v="1"/>
  </r>
  <r>
    <s v="TX501492"/>
    <x v="4"/>
    <x v="1"/>
    <n v="38"/>
    <n v="76"/>
    <x v="55"/>
    <d v="2025-02-27T00:00:00"/>
    <s v="F"/>
    <x v="1"/>
    <x v="0"/>
    <x v="0"/>
    <x v="5"/>
    <n v="2"/>
    <x v="8"/>
    <x v="2"/>
  </r>
  <r>
    <s v="TX501493"/>
    <x v="3"/>
    <x v="21"/>
    <n v="32.4"/>
    <n v="453.59999999999997"/>
    <x v="55"/>
    <d v="2025-02-28T00:00:00"/>
    <s v="M"/>
    <x v="4"/>
    <x v="0"/>
    <x v="0"/>
    <x v="6"/>
    <n v="3"/>
    <x v="8"/>
    <x v="1"/>
  </r>
  <r>
    <s v="TX501494"/>
    <x v="6"/>
    <x v="2"/>
    <n v="40.9"/>
    <n v="122.69999999999999"/>
    <x v="55"/>
    <d v="2025-02-25T00:00:00"/>
    <s v=""/>
    <x v="1"/>
    <x v="0"/>
    <x v="0"/>
    <x v="8"/>
    <n v="0"/>
    <x v="8"/>
    <x v="0"/>
  </r>
  <r>
    <s v="TX501495"/>
    <x v="7"/>
    <x v="3"/>
    <n v="76.2"/>
    <n v="533.4"/>
    <x v="55"/>
    <d v="2025-02-27T00:00:00"/>
    <s v="F"/>
    <x v="2"/>
    <x v="1"/>
    <x v="0"/>
    <x v="8"/>
    <n v="2"/>
    <x v="8"/>
    <x v="2"/>
  </r>
  <r>
    <s v="TX501496"/>
    <x v="2"/>
    <x v="0"/>
    <n v="85.6"/>
    <n v="85.6"/>
    <x v="55"/>
    <d v="2025-02-27T00:00:00"/>
    <s v="M"/>
    <x v="2"/>
    <x v="0"/>
    <x v="0"/>
    <x v="8"/>
    <n v="2"/>
    <x v="8"/>
    <x v="1"/>
  </r>
  <r>
    <s v="TX501497"/>
    <x v="4"/>
    <x v="12"/>
    <n v="25"/>
    <n v="100"/>
    <x v="55"/>
    <d v="2025-02-27T00:00:00"/>
    <s v="F"/>
    <x v="2"/>
    <x v="2"/>
    <x v="0"/>
    <x v="8"/>
    <n v="2"/>
    <x v="8"/>
    <x v="2"/>
  </r>
  <r>
    <s v="TX501498"/>
    <x v="2"/>
    <x v="9"/>
    <n v="150.69999999999999"/>
    <n v="753.5"/>
    <x v="55"/>
    <d v="2025-02-26T00:00:00"/>
    <s v=""/>
    <x v="0"/>
    <x v="2"/>
    <x v="0"/>
    <x v="8"/>
    <n v="1"/>
    <x v="8"/>
    <x v="0"/>
  </r>
  <r>
    <s v="TX501499"/>
    <x v="8"/>
    <x v="0"/>
    <n v="19.600000000000001"/>
    <n v="19.600000000000001"/>
    <x v="55"/>
    <d v="2025-02-26T00:00:00"/>
    <s v="M"/>
    <x v="1"/>
    <x v="4"/>
    <x v="0"/>
    <x v="8"/>
    <n v="1"/>
    <x v="8"/>
    <x v="1"/>
  </r>
  <r>
    <s v="TX501500"/>
    <x v="13"/>
    <x v="1"/>
    <n v="37.5"/>
    <n v="75"/>
    <x v="55"/>
    <d v="2025-02-28T00:00:00"/>
    <s v="F"/>
    <x v="1"/>
    <x v="2"/>
    <x v="0"/>
    <x v="17"/>
    <n v="3"/>
    <x v="8"/>
    <x v="2"/>
  </r>
  <r>
    <s v="TX501501"/>
    <x v="9"/>
    <x v="2"/>
    <n v="51.9"/>
    <n v="155.69999999999999"/>
    <x v="55"/>
    <d v="2025-03-03T00:00:00"/>
    <s v="F"/>
    <x v="0"/>
    <x v="4"/>
    <x v="0"/>
    <x v="11"/>
    <n v="6"/>
    <x v="8"/>
    <x v="2"/>
  </r>
  <r>
    <s v="TX501502"/>
    <x v="1"/>
    <x v="1"/>
    <n v="30.9"/>
    <n v="61.8"/>
    <x v="55"/>
    <d v="2025-02-27T00:00:00"/>
    <s v="F"/>
    <x v="1"/>
    <x v="0"/>
    <x v="0"/>
    <x v="18"/>
    <n v="2"/>
    <x v="8"/>
    <x v="2"/>
  </r>
  <r>
    <s v="TX501503"/>
    <x v="4"/>
    <x v="2"/>
    <n v="21.2"/>
    <n v="63.599999999999994"/>
    <x v="55"/>
    <d v="2025-02-28T00:00:00"/>
    <s v="F"/>
    <x v="1"/>
    <x v="0"/>
    <x v="0"/>
    <x v="19"/>
    <n v="3"/>
    <x v="8"/>
    <x v="2"/>
  </r>
  <r>
    <s v="TX501504"/>
    <x v="13"/>
    <x v="14"/>
    <n v="17.5"/>
    <n v="297.5"/>
    <x v="55"/>
    <d v="2025-02-26T00:00:00"/>
    <s v="M"/>
    <x v="1"/>
    <x v="1"/>
    <x v="0"/>
    <x v="13"/>
    <n v="1"/>
    <x v="8"/>
    <x v="1"/>
  </r>
  <r>
    <s v="TX501505"/>
    <x v="12"/>
    <x v="1"/>
    <n v="53.8"/>
    <n v="107.6"/>
    <x v="55"/>
    <d v="2025-03-02T00:00:00"/>
    <s v="F"/>
    <x v="0"/>
    <x v="2"/>
    <x v="0"/>
    <x v="21"/>
    <n v="5"/>
    <x v="8"/>
    <x v="2"/>
  </r>
  <r>
    <s v="TX501506"/>
    <x v="19"/>
    <x v="1"/>
    <n v="17"/>
    <n v="34"/>
    <x v="55"/>
    <d v="2025-02-26T00:00:00"/>
    <s v="M"/>
    <x v="3"/>
    <x v="0"/>
    <x v="0"/>
    <x v="21"/>
    <n v="1"/>
    <x v="8"/>
    <x v="1"/>
  </r>
  <r>
    <s v="TX501507"/>
    <x v="6"/>
    <x v="0"/>
    <n v="103.2"/>
    <n v="103.2"/>
    <x v="55"/>
    <d v="2025-03-05T00:00:00"/>
    <s v="M"/>
    <x v="2"/>
    <x v="1"/>
    <x v="0"/>
    <x v="1"/>
    <n v="8"/>
    <x v="8"/>
    <x v="1"/>
  </r>
  <r>
    <s v="TX501508"/>
    <x v="6"/>
    <x v="12"/>
    <n v="70.3"/>
    <n v="281.2"/>
    <x v="55"/>
    <d v="2025-02-26T00:00:00"/>
    <s v="M"/>
    <x v="0"/>
    <x v="0"/>
    <x v="0"/>
    <x v="3"/>
    <n v="1"/>
    <x v="8"/>
    <x v="1"/>
  </r>
  <r>
    <s v="TX501509"/>
    <x v="2"/>
    <x v="1"/>
    <n v="73.8"/>
    <n v="147.6"/>
    <x v="55"/>
    <d v="2025-02-25T00:00:00"/>
    <s v="M"/>
    <x v="3"/>
    <x v="2"/>
    <x v="0"/>
    <x v="3"/>
    <n v="0"/>
    <x v="8"/>
    <x v="1"/>
  </r>
  <r>
    <s v="TX501510"/>
    <x v="1"/>
    <x v="4"/>
    <n v="67.7"/>
    <n v="812.40000000000009"/>
    <x v="55"/>
    <d v="2025-03-01T00:00:00"/>
    <s v="M"/>
    <x v="1"/>
    <x v="1"/>
    <x v="0"/>
    <x v="3"/>
    <n v="4"/>
    <x v="8"/>
    <x v="1"/>
  </r>
  <r>
    <s v="TX501511"/>
    <x v="13"/>
    <x v="3"/>
    <n v="43.8"/>
    <n v="306.59999999999997"/>
    <x v="55"/>
    <d v="2025-02-27T00:00:00"/>
    <s v="M"/>
    <x v="1"/>
    <x v="0"/>
    <x v="0"/>
    <x v="3"/>
    <n v="2"/>
    <x v="8"/>
    <x v="1"/>
  </r>
  <r>
    <s v="TX501512"/>
    <x v="17"/>
    <x v="13"/>
    <n v="71.900000000000006"/>
    <n v="431.40000000000003"/>
    <x v="55"/>
    <d v="2025-02-26T00:00:00"/>
    <s v="F"/>
    <x v="2"/>
    <x v="0"/>
    <x v="0"/>
    <x v="3"/>
    <n v="1"/>
    <x v="8"/>
    <x v="2"/>
  </r>
  <r>
    <s v="TX501513"/>
    <x v="8"/>
    <x v="1"/>
    <n v="26.3"/>
    <n v="52.6"/>
    <x v="56"/>
    <d v="2025-02-28T00:00:00"/>
    <s v="F"/>
    <x v="0"/>
    <x v="1"/>
    <x v="0"/>
    <x v="3"/>
    <n v="2"/>
    <x v="8"/>
    <x v="2"/>
  </r>
  <r>
    <s v="TX501514"/>
    <x v="6"/>
    <x v="12"/>
    <n v="52.6"/>
    <n v="210.4"/>
    <x v="56"/>
    <d v="2025-02-28T00:00:00"/>
    <s v="F"/>
    <x v="2"/>
    <x v="1"/>
    <x v="0"/>
    <x v="3"/>
    <n v="2"/>
    <x v="8"/>
    <x v="2"/>
  </r>
  <r>
    <s v="TX501515"/>
    <x v="10"/>
    <x v="0"/>
    <n v="32.700000000000003"/>
    <n v="32.700000000000003"/>
    <x v="56"/>
    <d v="2025-03-05T00:00:00"/>
    <s v="F"/>
    <x v="0"/>
    <x v="2"/>
    <x v="0"/>
    <x v="3"/>
    <n v="7"/>
    <x v="8"/>
    <x v="2"/>
  </r>
  <r>
    <s v="TX501516"/>
    <x v="5"/>
    <x v="12"/>
    <n v="38.9"/>
    <n v="155.6"/>
    <x v="56"/>
    <d v="2025-02-27T00:00:00"/>
    <s v="F"/>
    <x v="0"/>
    <x v="0"/>
    <x v="0"/>
    <x v="3"/>
    <n v="1"/>
    <x v="8"/>
    <x v="2"/>
  </r>
  <r>
    <s v="TX501517"/>
    <x v="9"/>
    <x v="9"/>
    <n v="35"/>
    <n v="175"/>
    <x v="56"/>
    <d v="2025-02-28T00:00:00"/>
    <s v="M"/>
    <x v="0"/>
    <x v="0"/>
    <x v="0"/>
    <x v="3"/>
    <n v="2"/>
    <x v="8"/>
    <x v="1"/>
  </r>
  <r>
    <s v="TX501518"/>
    <x v="2"/>
    <x v="1"/>
    <n v="121"/>
    <n v="242"/>
    <x v="56"/>
    <d v="2025-02-27T00:00:00"/>
    <s v="F"/>
    <x v="1"/>
    <x v="1"/>
    <x v="0"/>
    <x v="3"/>
    <n v="1"/>
    <x v="8"/>
    <x v="2"/>
  </r>
  <r>
    <s v="TX501519"/>
    <x v="6"/>
    <x v="2"/>
    <n v="65.099999999999994"/>
    <n v="195.29999999999998"/>
    <x v="56"/>
    <d v="2025-03-02T00:00:00"/>
    <s v="M"/>
    <x v="2"/>
    <x v="0"/>
    <x v="0"/>
    <x v="36"/>
    <n v="4"/>
    <x v="8"/>
    <x v="1"/>
  </r>
  <r>
    <s v="TX501520"/>
    <x v="1"/>
    <x v="38"/>
    <n v="63.8"/>
    <n v="1339.8"/>
    <x v="56"/>
    <d v="2025-02-28T00:00:00"/>
    <s v="F"/>
    <x v="0"/>
    <x v="0"/>
    <x v="0"/>
    <x v="8"/>
    <n v="2"/>
    <x v="8"/>
    <x v="2"/>
  </r>
  <r>
    <s v="TX501521"/>
    <x v="7"/>
    <x v="0"/>
    <n v="77.7"/>
    <n v="77.7"/>
    <x v="56"/>
    <d v="2025-02-28T00:00:00"/>
    <s v="M"/>
    <x v="0"/>
    <x v="0"/>
    <x v="0"/>
    <x v="8"/>
    <n v="2"/>
    <x v="8"/>
    <x v="1"/>
  </r>
  <r>
    <s v="TX501522"/>
    <x v="5"/>
    <x v="12"/>
    <n v="60.3"/>
    <n v="241.2"/>
    <x v="56"/>
    <d v="2025-02-26T00:00:00"/>
    <s v="M"/>
    <x v="0"/>
    <x v="2"/>
    <x v="0"/>
    <x v="8"/>
    <n v="0"/>
    <x v="8"/>
    <x v="1"/>
  </r>
  <r>
    <s v="TX501523"/>
    <x v="5"/>
    <x v="1"/>
    <n v="124.1"/>
    <n v="248.2"/>
    <x v="56"/>
    <d v="2025-03-01T00:00:00"/>
    <s v="F"/>
    <x v="0"/>
    <x v="2"/>
    <x v="0"/>
    <x v="8"/>
    <n v="3"/>
    <x v="8"/>
    <x v="2"/>
  </r>
  <r>
    <s v="TX501524"/>
    <x v="16"/>
    <x v="3"/>
    <n v="66"/>
    <n v="462"/>
    <x v="56"/>
    <d v="2025-02-26T00:00:00"/>
    <s v=""/>
    <x v="3"/>
    <x v="0"/>
    <x v="0"/>
    <x v="17"/>
    <n v="0"/>
    <x v="8"/>
    <x v="0"/>
  </r>
  <r>
    <s v="TX501525"/>
    <x v="2"/>
    <x v="42"/>
    <n v="118.2"/>
    <n v="7446.6"/>
    <x v="56"/>
    <d v="2025-03-03T00:00:00"/>
    <s v=""/>
    <x v="0"/>
    <x v="0"/>
    <x v="0"/>
    <x v="17"/>
    <n v="5"/>
    <x v="8"/>
    <x v="0"/>
  </r>
  <r>
    <s v="TX501526"/>
    <x v="5"/>
    <x v="9"/>
    <n v="64.3"/>
    <n v="321.5"/>
    <x v="56"/>
    <d v="2025-02-27T00:00:00"/>
    <s v="M"/>
    <x v="4"/>
    <x v="4"/>
    <x v="0"/>
    <x v="26"/>
    <n v="1"/>
    <x v="8"/>
    <x v="1"/>
  </r>
  <r>
    <s v="TX501527"/>
    <x v="1"/>
    <x v="1"/>
    <n v="54.8"/>
    <n v="109.6"/>
    <x v="56"/>
    <d v="2025-02-26T00:00:00"/>
    <s v="M"/>
    <x v="0"/>
    <x v="1"/>
    <x v="0"/>
    <x v="26"/>
    <n v="0"/>
    <x v="8"/>
    <x v="1"/>
  </r>
  <r>
    <s v="TX501528"/>
    <x v="7"/>
    <x v="1"/>
    <n v="78.599999999999994"/>
    <n v="157.19999999999999"/>
    <x v="56"/>
    <d v="2025-02-27T00:00:00"/>
    <s v="M"/>
    <x v="0"/>
    <x v="2"/>
    <x v="0"/>
    <x v="9"/>
    <n v="1"/>
    <x v="8"/>
    <x v="1"/>
  </r>
  <r>
    <s v="TX501529"/>
    <x v="2"/>
    <x v="9"/>
    <n v="158.5"/>
    <n v="792.5"/>
    <x v="56"/>
    <d v="2025-02-28T00:00:00"/>
    <s v=""/>
    <x v="2"/>
    <x v="2"/>
    <x v="0"/>
    <x v="9"/>
    <n v="2"/>
    <x v="8"/>
    <x v="0"/>
  </r>
  <r>
    <s v="TX501530"/>
    <x v="4"/>
    <x v="7"/>
    <n v="23.5"/>
    <n v="235"/>
    <x v="56"/>
    <d v="2025-03-01T00:00:00"/>
    <s v="M"/>
    <x v="0"/>
    <x v="4"/>
    <x v="0"/>
    <x v="10"/>
    <n v="3"/>
    <x v="8"/>
    <x v="1"/>
  </r>
  <r>
    <s v="TX501531"/>
    <x v="5"/>
    <x v="1"/>
    <n v="32.1"/>
    <n v="64.2"/>
    <x v="56"/>
    <d v="2025-02-28T00:00:00"/>
    <s v=""/>
    <x v="3"/>
    <x v="0"/>
    <x v="0"/>
    <x v="10"/>
    <n v="2"/>
    <x v="8"/>
    <x v="0"/>
  </r>
  <r>
    <s v="TX501532"/>
    <x v="17"/>
    <x v="12"/>
    <n v="71.900000000000006"/>
    <n v="287.60000000000002"/>
    <x v="56"/>
    <d v="2025-02-26T00:00:00"/>
    <s v="M"/>
    <x v="2"/>
    <x v="0"/>
    <x v="0"/>
    <x v="19"/>
    <n v="0"/>
    <x v="8"/>
    <x v="1"/>
  </r>
  <r>
    <s v="TX501533"/>
    <x v="4"/>
    <x v="13"/>
    <n v="22.3"/>
    <n v="133.80000000000001"/>
    <x v="56"/>
    <d v="2025-02-27T00:00:00"/>
    <s v=""/>
    <x v="3"/>
    <x v="2"/>
    <x v="0"/>
    <x v="13"/>
    <n v="1"/>
    <x v="8"/>
    <x v="0"/>
  </r>
  <r>
    <s v="TX501534"/>
    <x v="11"/>
    <x v="1"/>
    <n v="29.5"/>
    <n v="59"/>
    <x v="56"/>
    <d v="2025-02-27T00:00:00"/>
    <s v="F"/>
    <x v="0"/>
    <x v="2"/>
    <x v="0"/>
    <x v="13"/>
    <n v="1"/>
    <x v="8"/>
    <x v="2"/>
  </r>
  <r>
    <s v="TX501535"/>
    <x v="6"/>
    <x v="12"/>
    <n v="41.9"/>
    <n v="167.6"/>
    <x v="56"/>
    <d v="2025-03-02T00:00:00"/>
    <s v="F"/>
    <x v="0"/>
    <x v="1"/>
    <x v="0"/>
    <x v="21"/>
    <n v="4"/>
    <x v="8"/>
    <x v="2"/>
  </r>
  <r>
    <s v="TX501536"/>
    <x v="6"/>
    <x v="2"/>
    <n v="107.8"/>
    <n v="323.39999999999998"/>
    <x v="56"/>
    <d v="2025-02-27T00:00:00"/>
    <s v="M"/>
    <x v="1"/>
    <x v="2"/>
    <x v="0"/>
    <x v="46"/>
    <n v="1"/>
    <x v="8"/>
    <x v="1"/>
  </r>
  <r>
    <s v="TX501537"/>
    <x v="4"/>
    <x v="9"/>
    <n v="18.100000000000001"/>
    <n v="90.5"/>
    <x v="56"/>
    <d v="2025-03-01T00:00:00"/>
    <s v="M"/>
    <x v="0"/>
    <x v="2"/>
    <x v="0"/>
    <x v="2"/>
    <n v="3"/>
    <x v="8"/>
    <x v="1"/>
  </r>
  <r>
    <s v="TX501538"/>
    <x v="12"/>
    <x v="11"/>
    <n v="79.8"/>
    <n v="718.19999999999993"/>
    <x v="56"/>
    <d v="2025-02-27T00:00:00"/>
    <s v="F"/>
    <x v="1"/>
    <x v="1"/>
    <x v="0"/>
    <x v="22"/>
    <n v="1"/>
    <x v="8"/>
    <x v="2"/>
  </r>
  <r>
    <s v="TX501539"/>
    <x v="0"/>
    <x v="2"/>
    <n v="22.3"/>
    <n v="66.900000000000006"/>
    <x v="56"/>
    <d v="2025-03-01T00:00:00"/>
    <s v="F"/>
    <x v="0"/>
    <x v="2"/>
    <x v="0"/>
    <x v="22"/>
    <n v="3"/>
    <x v="8"/>
    <x v="2"/>
  </r>
  <r>
    <s v="TX501540"/>
    <x v="8"/>
    <x v="0"/>
    <n v="22.9"/>
    <n v="22.9"/>
    <x v="56"/>
    <d v="2025-02-26T00:00:00"/>
    <s v="F"/>
    <x v="1"/>
    <x v="0"/>
    <x v="0"/>
    <x v="22"/>
    <n v="0"/>
    <x v="8"/>
    <x v="2"/>
  </r>
  <r>
    <s v="TX501541"/>
    <x v="0"/>
    <x v="2"/>
    <n v="16.2"/>
    <n v="48.599999999999994"/>
    <x v="57"/>
    <d v="2025-02-27T00:00:00"/>
    <s v="M"/>
    <x v="4"/>
    <x v="2"/>
    <x v="0"/>
    <x v="3"/>
    <n v="0"/>
    <x v="8"/>
    <x v="1"/>
  </r>
  <r>
    <s v="TX501542"/>
    <x v="10"/>
    <x v="12"/>
    <n v="59.5"/>
    <n v="238"/>
    <x v="57"/>
    <d v="2025-02-28T00:00:00"/>
    <s v="M"/>
    <x v="1"/>
    <x v="2"/>
    <x v="0"/>
    <x v="3"/>
    <n v="1"/>
    <x v="8"/>
    <x v="1"/>
  </r>
  <r>
    <s v="TX501543"/>
    <x v="18"/>
    <x v="9"/>
    <n v="26.2"/>
    <n v="131"/>
    <x v="57"/>
    <d v="2025-03-02T00:00:00"/>
    <s v="M"/>
    <x v="3"/>
    <x v="4"/>
    <x v="0"/>
    <x v="3"/>
    <n v="3"/>
    <x v="8"/>
    <x v="1"/>
  </r>
  <r>
    <s v="TX501544"/>
    <x v="3"/>
    <x v="0"/>
    <n v="44.2"/>
    <n v="44.2"/>
    <x v="57"/>
    <d v="2025-03-02T00:00:00"/>
    <s v="F"/>
    <x v="1"/>
    <x v="0"/>
    <x v="0"/>
    <x v="3"/>
    <n v="3"/>
    <x v="8"/>
    <x v="2"/>
  </r>
  <r>
    <s v="TX501545"/>
    <x v="9"/>
    <x v="1"/>
    <n v="59.2"/>
    <n v="118.4"/>
    <x v="57"/>
    <d v="2025-02-27T00:00:00"/>
    <s v="F"/>
    <x v="1"/>
    <x v="4"/>
    <x v="0"/>
    <x v="3"/>
    <n v="0"/>
    <x v="8"/>
    <x v="2"/>
  </r>
  <r>
    <s v="TX501546"/>
    <x v="15"/>
    <x v="12"/>
    <n v="41.5"/>
    <n v="166"/>
    <x v="57"/>
    <d v="2025-03-01T00:00:00"/>
    <s v="F"/>
    <x v="0"/>
    <x v="0"/>
    <x v="0"/>
    <x v="16"/>
    <n v="2"/>
    <x v="8"/>
    <x v="2"/>
  </r>
  <r>
    <s v="TX501547"/>
    <x v="6"/>
    <x v="4"/>
    <n v="67.099999999999994"/>
    <n v="805.19999999999993"/>
    <x v="57"/>
    <d v="2025-03-13T00:00:00"/>
    <s v="F"/>
    <x v="0"/>
    <x v="2"/>
    <x v="0"/>
    <x v="23"/>
    <n v="14"/>
    <x v="8"/>
    <x v="2"/>
  </r>
  <r>
    <s v="TX501548"/>
    <x v="8"/>
    <x v="1"/>
    <n v="28.7"/>
    <n v="57.4"/>
    <x v="57"/>
    <d v="2025-03-03T00:00:00"/>
    <s v="F"/>
    <x v="1"/>
    <x v="0"/>
    <x v="0"/>
    <x v="6"/>
    <n v="4"/>
    <x v="8"/>
    <x v="2"/>
  </r>
  <r>
    <s v="TX501549"/>
    <x v="2"/>
    <x v="12"/>
    <n v="132.1"/>
    <n v="528.4"/>
    <x v="57"/>
    <d v="2025-02-28T00:00:00"/>
    <s v="F"/>
    <x v="0"/>
    <x v="1"/>
    <x v="0"/>
    <x v="6"/>
    <n v="1"/>
    <x v="8"/>
    <x v="2"/>
  </r>
  <r>
    <s v="TX501550"/>
    <x v="18"/>
    <x v="1"/>
    <n v="47"/>
    <n v="94"/>
    <x v="57"/>
    <d v="2025-03-01T00:00:00"/>
    <s v="M"/>
    <x v="4"/>
    <x v="0"/>
    <x v="0"/>
    <x v="8"/>
    <n v="2"/>
    <x v="8"/>
    <x v="1"/>
  </r>
  <r>
    <s v="TX501551"/>
    <x v="8"/>
    <x v="1"/>
    <n v="41.6"/>
    <n v="83.2"/>
    <x v="57"/>
    <d v="2025-03-03T00:00:00"/>
    <s v="M"/>
    <x v="1"/>
    <x v="2"/>
    <x v="0"/>
    <x v="8"/>
    <n v="4"/>
    <x v="8"/>
    <x v="1"/>
  </r>
  <r>
    <s v="TX501552"/>
    <x v="8"/>
    <x v="43"/>
    <n v="17.3"/>
    <n v="657.4"/>
    <x v="57"/>
    <d v="2025-03-01T00:00:00"/>
    <s v="M"/>
    <x v="2"/>
    <x v="2"/>
    <x v="0"/>
    <x v="8"/>
    <n v="2"/>
    <x v="8"/>
    <x v="1"/>
  </r>
  <r>
    <s v="TX501553"/>
    <x v="13"/>
    <x v="2"/>
    <n v="41.8"/>
    <n v="125.39999999999999"/>
    <x v="57"/>
    <d v="2025-03-02T00:00:00"/>
    <s v="M"/>
    <x v="0"/>
    <x v="2"/>
    <x v="0"/>
    <x v="8"/>
    <n v="3"/>
    <x v="8"/>
    <x v="1"/>
  </r>
  <r>
    <s v="TX501554"/>
    <x v="10"/>
    <x v="0"/>
    <n v="24"/>
    <n v="24"/>
    <x v="57"/>
    <d v="2025-02-28T00:00:00"/>
    <s v="F"/>
    <x v="0"/>
    <x v="0"/>
    <x v="0"/>
    <x v="17"/>
    <n v="1"/>
    <x v="8"/>
    <x v="2"/>
  </r>
  <r>
    <s v="TX501555"/>
    <x v="14"/>
    <x v="11"/>
    <n v="18.5"/>
    <n v="166.5"/>
    <x v="57"/>
    <d v="2025-03-01T00:00:00"/>
    <s v="F"/>
    <x v="0"/>
    <x v="0"/>
    <x v="0"/>
    <x v="9"/>
    <n v="2"/>
    <x v="8"/>
    <x v="2"/>
  </r>
  <r>
    <s v="TX501556"/>
    <x v="3"/>
    <x v="4"/>
    <n v="66.7"/>
    <n v="800.40000000000009"/>
    <x v="57"/>
    <d v="2025-03-02T00:00:00"/>
    <s v=""/>
    <x v="0"/>
    <x v="2"/>
    <x v="0"/>
    <x v="11"/>
    <n v="3"/>
    <x v="8"/>
    <x v="0"/>
  </r>
  <r>
    <s v="TX501557"/>
    <x v="1"/>
    <x v="12"/>
    <n v="33.1"/>
    <n v="132.4"/>
    <x v="57"/>
    <d v="2025-03-04T00:00:00"/>
    <s v="M"/>
    <x v="3"/>
    <x v="0"/>
    <x v="0"/>
    <x v="11"/>
    <n v="5"/>
    <x v="8"/>
    <x v="1"/>
  </r>
  <r>
    <s v="TX501558"/>
    <x v="19"/>
    <x v="11"/>
    <n v="42.1"/>
    <n v="378.90000000000003"/>
    <x v="57"/>
    <d v="2025-03-10T00:00:00"/>
    <s v="M"/>
    <x v="1"/>
    <x v="0"/>
    <x v="0"/>
    <x v="18"/>
    <n v="11"/>
    <x v="8"/>
    <x v="1"/>
  </r>
  <r>
    <s v="TX501559"/>
    <x v="18"/>
    <x v="3"/>
    <n v="58.7"/>
    <n v="410.90000000000003"/>
    <x v="57"/>
    <d v="2025-02-27T00:00:00"/>
    <s v="O"/>
    <x v="3"/>
    <x v="0"/>
    <x v="0"/>
    <x v="31"/>
    <n v="0"/>
    <x v="8"/>
    <x v="3"/>
  </r>
  <r>
    <s v="TX501560"/>
    <x v="6"/>
    <x v="12"/>
    <n v="54"/>
    <n v="216"/>
    <x v="57"/>
    <d v="2025-03-01T00:00:00"/>
    <s v="F"/>
    <x v="1"/>
    <x v="0"/>
    <x v="0"/>
    <x v="1"/>
    <n v="2"/>
    <x v="8"/>
    <x v="2"/>
  </r>
  <r>
    <s v="TX501561"/>
    <x v="8"/>
    <x v="0"/>
    <n v="52.1"/>
    <n v="52.1"/>
    <x v="57"/>
    <d v="2025-02-28T00:00:00"/>
    <s v="F"/>
    <x v="2"/>
    <x v="2"/>
    <x v="0"/>
    <x v="2"/>
    <n v="1"/>
    <x v="8"/>
    <x v="2"/>
  </r>
  <r>
    <s v="TX501562"/>
    <x v="19"/>
    <x v="1"/>
    <n v="27"/>
    <n v="54"/>
    <x v="57"/>
    <d v="2025-03-02T00:00:00"/>
    <s v="O"/>
    <x v="2"/>
    <x v="0"/>
    <x v="0"/>
    <x v="22"/>
    <n v="3"/>
    <x v="8"/>
    <x v="3"/>
  </r>
  <r>
    <s v="TX501563"/>
    <x v="12"/>
    <x v="7"/>
    <n v="31"/>
    <n v="310"/>
    <x v="58"/>
    <d v="2025-03-01T00:00:00"/>
    <s v="F"/>
    <x v="3"/>
    <x v="2"/>
    <x v="0"/>
    <x v="22"/>
    <n v="1"/>
    <x v="8"/>
    <x v="2"/>
  </r>
  <r>
    <s v="TX501564"/>
    <x v="10"/>
    <x v="1"/>
    <n v="46.7"/>
    <n v="93.4"/>
    <x v="58"/>
    <d v="2025-02-28T00:00:00"/>
    <s v="F"/>
    <x v="0"/>
    <x v="0"/>
    <x v="0"/>
    <x v="34"/>
    <n v="0"/>
    <x v="8"/>
    <x v="2"/>
  </r>
  <r>
    <s v="TX501565"/>
    <x v="6"/>
    <x v="0"/>
    <n v="144.69999999999999"/>
    <n v="144.69999999999999"/>
    <x v="58"/>
    <d v="2025-03-03T00:00:00"/>
    <s v="M"/>
    <x v="0"/>
    <x v="2"/>
    <x v="0"/>
    <x v="3"/>
    <n v="3"/>
    <x v="8"/>
    <x v="1"/>
  </r>
  <r>
    <s v="TX501566"/>
    <x v="2"/>
    <x v="11"/>
    <n v="90.9"/>
    <n v="818.1"/>
    <x v="58"/>
    <d v="2025-03-01T00:00:00"/>
    <s v="M"/>
    <x v="0"/>
    <x v="2"/>
    <x v="0"/>
    <x v="3"/>
    <n v="1"/>
    <x v="8"/>
    <x v="1"/>
  </r>
  <r>
    <s v="TX501567"/>
    <x v="1"/>
    <x v="1"/>
    <n v="75.8"/>
    <n v="151.6"/>
    <x v="58"/>
    <d v="2025-03-01T00:00:00"/>
    <s v="F"/>
    <x v="2"/>
    <x v="1"/>
    <x v="0"/>
    <x v="3"/>
    <n v="1"/>
    <x v="8"/>
    <x v="2"/>
  </r>
  <r>
    <s v="TX501568"/>
    <x v="7"/>
    <x v="9"/>
    <n v="57.9"/>
    <n v="289.5"/>
    <x v="58"/>
    <d v="2025-03-02T00:00:00"/>
    <s v="M"/>
    <x v="2"/>
    <x v="2"/>
    <x v="0"/>
    <x v="3"/>
    <n v="2"/>
    <x v="8"/>
    <x v="1"/>
  </r>
  <r>
    <s v="TX501569"/>
    <x v="8"/>
    <x v="9"/>
    <n v="44.8"/>
    <n v="224"/>
    <x v="58"/>
    <d v="2025-03-01T00:00:00"/>
    <s v="F"/>
    <x v="3"/>
    <x v="2"/>
    <x v="0"/>
    <x v="3"/>
    <n v="1"/>
    <x v="8"/>
    <x v="2"/>
  </r>
  <r>
    <s v="TX501570"/>
    <x v="9"/>
    <x v="2"/>
    <n v="44.2"/>
    <n v="132.60000000000002"/>
    <x v="58"/>
    <d v="2025-03-04T00:00:00"/>
    <s v="M"/>
    <x v="2"/>
    <x v="2"/>
    <x v="0"/>
    <x v="3"/>
    <n v="4"/>
    <x v="8"/>
    <x v="1"/>
  </r>
  <r>
    <s v="TX501571"/>
    <x v="5"/>
    <x v="9"/>
    <n v="53.5"/>
    <n v="267.5"/>
    <x v="58"/>
    <d v="2025-03-02T00:00:00"/>
    <s v="M"/>
    <x v="0"/>
    <x v="0"/>
    <x v="0"/>
    <x v="37"/>
    <n v="2"/>
    <x v="8"/>
    <x v="1"/>
  </r>
  <r>
    <s v="TX501572"/>
    <x v="6"/>
    <x v="1"/>
    <n v="72.2"/>
    <n v="144.4"/>
    <x v="58"/>
    <d v="2025-03-01T00:00:00"/>
    <s v="M"/>
    <x v="0"/>
    <x v="2"/>
    <x v="0"/>
    <x v="25"/>
    <n v="1"/>
    <x v="8"/>
    <x v="1"/>
  </r>
  <r>
    <s v="TX501573"/>
    <x v="6"/>
    <x v="12"/>
    <n v="62.4"/>
    <n v="249.6"/>
    <x v="58"/>
    <d v="2025-03-03T00:00:00"/>
    <s v="F"/>
    <x v="0"/>
    <x v="1"/>
    <x v="0"/>
    <x v="23"/>
    <n v="3"/>
    <x v="8"/>
    <x v="2"/>
  </r>
  <r>
    <s v="TX501574"/>
    <x v="10"/>
    <x v="9"/>
    <n v="24.7"/>
    <n v="123.5"/>
    <x v="58"/>
    <d v="2025-03-01T00:00:00"/>
    <s v="F"/>
    <x v="0"/>
    <x v="0"/>
    <x v="0"/>
    <x v="6"/>
    <n v="1"/>
    <x v="8"/>
    <x v="2"/>
  </r>
  <r>
    <s v="TX501575"/>
    <x v="1"/>
    <x v="9"/>
    <n v="61.7"/>
    <n v="308.5"/>
    <x v="58"/>
    <d v="2025-03-02T00:00:00"/>
    <s v="F"/>
    <x v="2"/>
    <x v="0"/>
    <x v="0"/>
    <x v="8"/>
    <n v="2"/>
    <x v="8"/>
    <x v="2"/>
  </r>
  <r>
    <s v="TX501576"/>
    <x v="8"/>
    <x v="9"/>
    <n v="18.2"/>
    <n v="91"/>
    <x v="58"/>
    <d v="2025-03-02T00:00:00"/>
    <s v="F"/>
    <x v="3"/>
    <x v="0"/>
    <x v="0"/>
    <x v="8"/>
    <n v="2"/>
    <x v="8"/>
    <x v="2"/>
  </r>
  <r>
    <s v="TX501577"/>
    <x v="10"/>
    <x v="12"/>
    <n v="37.200000000000003"/>
    <n v="148.80000000000001"/>
    <x v="58"/>
    <d v="2025-03-06T00:00:00"/>
    <s v="F"/>
    <x v="0"/>
    <x v="0"/>
    <x v="0"/>
    <x v="8"/>
    <n v="6"/>
    <x v="8"/>
    <x v="2"/>
  </r>
  <r>
    <s v="TX501578"/>
    <x v="9"/>
    <x v="2"/>
    <n v="53.5"/>
    <n v="160.5"/>
    <x v="58"/>
    <d v="2025-03-02T00:00:00"/>
    <s v="F"/>
    <x v="1"/>
    <x v="2"/>
    <x v="0"/>
    <x v="9"/>
    <n v="2"/>
    <x v="8"/>
    <x v="2"/>
  </r>
  <r>
    <s v="TX501579"/>
    <x v="8"/>
    <x v="2"/>
    <n v="43.6"/>
    <n v="130.80000000000001"/>
    <x v="58"/>
    <d v="2025-02-28T00:00:00"/>
    <s v="F"/>
    <x v="0"/>
    <x v="0"/>
    <x v="0"/>
    <x v="9"/>
    <n v="0"/>
    <x v="8"/>
    <x v="2"/>
  </r>
  <r>
    <s v="TX501580"/>
    <x v="1"/>
    <x v="7"/>
    <n v="135"/>
    <n v="1350"/>
    <x v="58"/>
    <d v="2025-03-02T00:00:00"/>
    <s v="F"/>
    <x v="0"/>
    <x v="2"/>
    <x v="0"/>
    <x v="9"/>
    <n v="2"/>
    <x v="8"/>
    <x v="2"/>
  </r>
  <r>
    <s v="TX501581"/>
    <x v="8"/>
    <x v="9"/>
    <n v="38.5"/>
    <n v="192.5"/>
    <x v="58"/>
    <d v="2025-02-28T00:00:00"/>
    <s v="M"/>
    <x v="4"/>
    <x v="2"/>
    <x v="0"/>
    <x v="10"/>
    <n v="0"/>
    <x v="8"/>
    <x v="1"/>
  </r>
  <r>
    <s v="TX501582"/>
    <x v="9"/>
    <x v="1"/>
    <n v="24"/>
    <n v="48"/>
    <x v="58"/>
    <d v="2025-03-05T00:00:00"/>
    <s v="F"/>
    <x v="0"/>
    <x v="0"/>
    <x v="0"/>
    <x v="11"/>
    <n v="5"/>
    <x v="8"/>
    <x v="2"/>
  </r>
  <r>
    <s v="TX501583"/>
    <x v="4"/>
    <x v="2"/>
    <n v="28.2"/>
    <n v="84.6"/>
    <x v="58"/>
    <d v="2025-03-02T00:00:00"/>
    <s v="M"/>
    <x v="0"/>
    <x v="3"/>
    <x v="0"/>
    <x v="18"/>
    <n v="2"/>
    <x v="8"/>
    <x v="1"/>
  </r>
  <r>
    <s v="TX501584"/>
    <x v="7"/>
    <x v="2"/>
    <n v="37.4"/>
    <n v="112.19999999999999"/>
    <x v="58"/>
    <d v="2025-03-01T00:00:00"/>
    <s v="F"/>
    <x v="3"/>
    <x v="0"/>
    <x v="0"/>
    <x v="1"/>
    <n v="1"/>
    <x v="8"/>
    <x v="2"/>
  </r>
  <r>
    <s v="TX501585"/>
    <x v="6"/>
    <x v="2"/>
    <n v="53.5"/>
    <n v="160.5"/>
    <x v="58"/>
    <d v="2025-03-03T00:00:00"/>
    <s v=""/>
    <x v="4"/>
    <x v="4"/>
    <x v="0"/>
    <x v="1"/>
    <n v="3"/>
    <x v="8"/>
    <x v="0"/>
  </r>
  <r>
    <s v="TX501586"/>
    <x v="11"/>
    <x v="9"/>
    <n v="36.200000000000003"/>
    <n v="181"/>
    <x v="58"/>
    <d v="2025-03-01T00:00:00"/>
    <s v="M"/>
    <x v="1"/>
    <x v="2"/>
    <x v="0"/>
    <x v="33"/>
    <n v="1"/>
    <x v="8"/>
    <x v="1"/>
  </r>
  <r>
    <s v="TX501587"/>
    <x v="0"/>
    <x v="8"/>
    <n v="31.9"/>
    <n v="255.2"/>
    <x v="58"/>
    <d v="2025-03-01T00:00:00"/>
    <s v="F"/>
    <x v="4"/>
    <x v="0"/>
    <x v="0"/>
    <x v="3"/>
    <n v="1"/>
    <x v="8"/>
    <x v="2"/>
  </r>
  <r>
    <s v="TX501588"/>
    <x v="8"/>
    <x v="2"/>
    <n v="21.3"/>
    <n v="63.900000000000006"/>
    <x v="58"/>
    <d v="2025-03-01T00:00:00"/>
    <s v="M"/>
    <x v="0"/>
    <x v="2"/>
    <x v="0"/>
    <x v="3"/>
    <n v="1"/>
    <x v="8"/>
    <x v="1"/>
  </r>
  <r>
    <s v="TX501589"/>
    <x v="8"/>
    <x v="0"/>
    <n v="36.299999999999997"/>
    <n v="36.299999999999997"/>
    <x v="58"/>
    <d v="2025-03-02T00:00:00"/>
    <s v="O"/>
    <x v="4"/>
    <x v="0"/>
    <x v="0"/>
    <x v="3"/>
    <n v="2"/>
    <x v="8"/>
    <x v="3"/>
  </r>
  <r>
    <s v="TX501590"/>
    <x v="6"/>
    <x v="2"/>
    <n v="110.5"/>
    <n v="331.5"/>
    <x v="58"/>
    <d v="2025-03-01T00:00:00"/>
    <s v="F"/>
    <x v="0"/>
    <x v="3"/>
    <x v="0"/>
    <x v="3"/>
    <n v="1"/>
    <x v="8"/>
    <x v="2"/>
  </r>
  <r>
    <s v="TX501591"/>
    <x v="10"/>
    <x v="3"/>
    <n v="32.6"/>
    <n v="228.20000000000002"/>
    <x v="58"/>
    <d v="2025-03-02T00:00:00"/>
    <s v="F"/>
    <x v="0"/>
    <x v="1"/>
    <x v="0"/>
    <x v="3"/>
    <n v="2"/>
    <x v="8"/>
    <x v="2"/>
  </r>
  <r>
    <s v="TX501592"/>
    <x v="5"/>
    <x v="2"/>
    <n v="55.6"/>
    <n v="166.8"/>
    <x v="59"/>
    <d v="2025-03-14T00:00:00"/>
    <s v="F"/>
    <x v="0"/>
    <x v="0"/>
    <x v="0"/>
    <x v="3"/>
    <n v="13"/>
    <x v="8"/>
    <x v="2"/>
  </r>
  <r>
    <s v="TX501593"/>
    <x v="1"/>
    <x v="12"/>
    <n v="38"/>
    <n v="152"/>
    <x v="59"/>
    <d v="2025-03-02T00:00:00"/>
    <s v="F"/>
    <x v="3"/>
    <x v="2"/>
    <x v="0"/>
    <x v="5"/>
    <n v="1"/>
    <x v="8"/>
    <x v="2"/>
  </r>
  <r>
    <s v="TX501594"/>
    <x v="10"/>
    <x v="1"/>
    <n v="51.8"/>
    <n v="103.6"/>
    <x v="59"/>
    <d v="2025-03-07T00:00:00"/>
    <s v="M"/>
    <x v="1"/>
    <x v="4"/>
    <x v="0"/>
    <x v="6"/>
    <n v="6"/>
    <x v="8"/>
    <x v="1"/>
  </r>
  <r>
    <s v="TX501595"/>
    <x v="11"/>
    <x v="8"/>
    <n v="28.7"/>
    <n v="229.6"/>
    <x v="59"/>
    <d v="2025-03-06T00:00:00"/>
    <s v="F"/>
    <x v="0"/>
    <x v="0"/>
    <x v="0"/>
    <x v="6"/>
    <n v="5"/>
    <x v="8"/>
    <x v="2"/>
  </r>
  <r>
    <s v="TX501596"/>
    <x v="6"/>
    <x v="4"/>
    <n v="52.2"/>
    <n v="626.40000000000009"/>
    <x v="59"/>
    <d v="2025-03-01T00:00:00"/>
    <s v="M"/>
    <x v="0"/>
    <x v="1"/>
    <x v="0"/>
    <x v="6"/>
    <n v="0"/>
    <x v="8"/>
    <x v="1"/>
  </r>
  <r>
    <s v="TX501597"/>
    <x v="1"/>
    <x v="1"/>
    <n v="68.2"/>
    <n v="136.4"/>
    <x v="59"/>
    <d v="2025-03-02T00:00:00"/>
    <s v=""/>
    <x v="2"/>
    <x v="0"/>
    <x v="0"/>
    <x v="7"/>
    <n v="1"/>
    <x v="8"/>
    <x v="0"/>
  </r>
  <r>
    <s v="TX501598"/>
    <x v="0"/>
    <x v="2"/>
    <n v="34"/>
    <n v="102"/>
    <x v="59"/>
    <d v="2025-03-05T00:00:00"/>
    <s v="F"/>
    <x v="0"/>
    <x v="0"/>
    <x v="0"/>
    <x v="8"/>
    <n v="4"/>
    <x v="8"/>
    <x v="2"/>
  </r>
  <r>
    <s v="TX501599"/>
    <x v="8"/>
    <x v="2"/>
    <n v="19.100000000000001"/>
    <n v="57.300000000000004"/>
    <x v="59"/>
    <d v="2025-03-02T00:00:00"/>
    <s v="F"/>
    <x v="4"/>
    <x v="0"/>
    <x v="0"/>
    <x v="8"/>
    <n v="1"/>
    <x v="8"/>
    <x v="2"/>
  </r>
  <r>
    <s v="TX501600"/>
    <x v="5"/>
    <x v="8"/>
    <n v="34"/>
    <n v="272"/>
    <x v="59"/>
    <d v="2025-03-09T00:00:00"/>
    <s v="F"/>
    <x v="4"/>
    <x v="0"/>
    <x v="0"/>
    <x v="8"/>
    <n v="8"/>
    <x v="8"/>
    <x v="2"/>
  </r>
  <r>
    <s v="TX501601"/>
    <x v="12"/>
    <x v="1"/>
    <n v="109.1"/>
    <n v="218.2"/>
    <x v="59"/>
    <d v="2025-03-03T00:00:00"/>
    <s v="M"/>
    <x v="0"/>
    <x v="2"/>
    <x v="0"/>
    <x v="8"/>
    <n v="2"/>
    <x v="8"/>
    <x v="1"/>
  </r>
  <r>
    <s v="TX501602"/>
    <x v="18"/>
    <x v="1"/>
    <n v="64.8"/>
    <n v="129.6"/>
    <x v="59"/>
    <d v="2025-03-03T00:00:00"/>
    <s v="M"/>
    <x v="0"/>
    <x v="2"/>
    <x v="0"/>
    <x v="8"/>
    <n v="2"/>
    <x v="8"/>
    <x v="1"/>
  </r>
  <r>
    <s v="TX501603"/>
    <x v="10"/>
    <x v="1"/>
    <n v="21.1"/>
    <n v="42.2"/>
    <x v="59"/>
    <d v="2025-03-01T00:00:00"/>
    <s v="F"/>
    <x v="1"/>
    <x v="0"/>
    <x v="0"/>
    <x v="11"/>
    <n v="0"/>
    <x v="8"/>
    <x v="2"/>
  </r>
  <r>
    <s v="TX501604"/>
    <x v="0"/>
    <x v="8"/>
    <n v="21.3"/>
    <n v="170.4"/>
    <x v="59"/>
    <d v="2025-03-03T00:00:00"/>
    <s v="M"/>
    <x v="3"/>
    <x v="1"/>
    <x v="0"/>
    <x v="18"/>
    <n v="2"/>
    <x v="8"/>
    <x v="1"/>
  </r>
  <r>
    <s v="TX501605"/>
    <x v="9"/>
    <x v="2"/>
    <n v="24.3"/>
    <n v="72.900000000000006"/>
    <x v="59"/>
    <d v="2025-03-02T00:00:00"/>
    <s v="M"/>
    <x v="1"/>
    <x v="0"/>
    <x v="0"/>
    <x v="19"/>
    <n v="1"/>
    <x v="8"/>
    <x v="1"/>
  </r>
  <r>
    <s v="TX501606"/>
    <x v="8"/>
    <x v="0"/>
    <n v="43.3"/>
    <n v="43.3"/>
    <x v="59"/>
    <d v="2025-03-05T00:00:00"/>
    <s v="M"/>
    <x v="1"/>
    <x v="1"/>
    <x v="0"/>
    <x v="13"/>
    <n v="4"/>
    <x v="8"/>
    <x v="1"/>
  </r>
  <r>
    <s v="TX501607"/>
    <x v="9"/>
    <x v="2"/>
    <n v="41"/>
    <n v="123"/>
    <x v="59"/>
    <d v="2025-03-02T00:00:00"/>
    <s v="F"/>
    <x v="3"/>
    <x v="4"/>
    <x v="0"/>
    <x v="21"/>
    <n v="1"/>
    <x v="8"/>
    <x v="2"/>
  </r>
  <r>
    <s v="TX501608"/>
    <x v="16"/>
    <x v="2"/>
    <n v="54.1"/>
    <n v="162.30000000000001"/>
    <x v="59"/>
    <d v="2025-03-03T00:00:00"/>
    <s v="F"/>
    <x v="4"/>
    <x v="0"/>
    <x v="0"/>
    <x v="21"/>
    <n v="2"/>
    <x v="8"/>
    <x v="2"/>
  </r>
  <r>
    <s v="TX501609"/>
    <x v="11"/>
    <x v="1"/>
    <n v="39"/>
    <n v="78"/>
    <x v="59"/>
    <d v="2025-03-02T00:00:00"/>
    <s v="M"/>
    <x v="1"/>
    <x v="2"/>
    <x v="0"/>
    <x v="1"/>
    <n v="1"/>
    <x v="8"/>
    <x v="1"/>
  </r>
  <r>
    <s v="TX501610"/>
    <x v="8"/>
    <x v="1"/>
    <n v="40.299999999999997"/>
    <n v="80.599999999999994"/>
    <x v="59"/>
    <d v="2025-03-03T00:00:00"/>
    <s v="M"/>
    <x v="3"/>
    <x v="0"/>
    <x v="0"/>
    <x v="27"/>
    <n v="2"/>
    <x v="8"/>
    <x v="1"/>
  </r>
  <r>
    <s v="TX501611"/>
    <x v="8"/>
    <x v="2"/>
    <n v="24.1"/>
    <n v="72.300000000000011"/>
    <x v="59"/>
    <d v="2025-03-02T00:00:00"/>
    <s v="M"/>
    <x v="0"/>
    <x v="2"/>
    <x v="0"/>
    <x v="34"/>
    <n v="1"/>
    <x v="8"/>
    <x v="1"/>
  </r>
  <r>
    <s v="TX501612"/>
    <x v="6"/>
    <x v="9"/>
    <n v="52.3"/>
    <n v="261.5"/>
    <x v="59"/>
    <d v="2025-03-02T00:00:00"/>
    <s v="M"/>
    <x v="2"/>
    <x v="0"/>
    <x v="0"/>
    <x v="3"/>
    <n v="1"/>
    <x v="8"/>
    <x v="1"/>
  </r>
  <r>
    <s v="TX501613"/>
    <x v="12"/>
    <x v="12"/>
    <n v="68.8"/>
    <n v="275.2"/>
    <x v="59"/>
    <d v="2025-03-05T00:00:00"/>
    <s v="F"/>
    <x v="4"/>
    <x v="2"/>
    <x v="0"/>
    <x v="3"/>
    <n v="4"/>
    <x v="8"/>
    <x v="2"/>
  </r>
  <r>
    <s v="TX501614"/>
    <x v="2"/>
    <x v="1"/>
    <n v="128.80000000000001"/>
    <n v="257.60000000000002"/>
    <x v="60"/>
    <d v="2025-03-05T00:00:00"/>
    <s v="F"/>
    <x v="1"/>
    <x v="1"/>
    <x v="0"/>
    <x v="3"/>
    <n v="3"/>
    <x v="9"/>
    <x v="2"/>
  </r>
  <r>
    <s v="TX501615"/>
    <x v="15"/>
    <x v="9"/>
    <n v="48.2"/>
    <n v="241"/>
    <x v="60"/>
    <d v="2025-03-04T00:00:00"/>
    <s v="F"/>
    <x v="3"/>
    <x v="0"/>
    <x v="0"/>
    <x v="3"/>
    <n v="2"/>
    <x v="9"/>
    <x v="2"/>
  </r>
  <r>
    <s v="TX501616"/>
    <x v="10"/>
    <x v="0"/>
    <n v="39.700000000000003"/>
    <n v="39.700000000000003"/>
    <x v="60"/>
    <d v="2025-03-04T00:00:00"/>
    <s v="F"/>
    <x v="0"/>
    <x v="1"/>
    <x v="0"/>
    <x v="3"/>
    <n v="2"/>
    <x v="9"/>
    <x v="2"/>
  </r>
  <r>
    <s v="TX501617"/>
    <x v="9"/>
    <x v="0"/>
    <n v="59.7"/>
    <n v="59.7"/>
    <x v="60"/>
    <d v="2025-03-05T00:00:00"/>
    <s v="F"/>
    <x v="4"/>
    <x v="0"/>
    <x v="0"/>
    <x v="3"/>
    <n v="3"/>
    <x v="9"/>
    <x v="2"/>
  </r>
  <r>
    <s v="TX501618"/>
    <x v="6"/>
    <x v="0"/>
    <n v="48.3"/>
    <n v="48.3"/>
    <x v="60"/>
    <d v="2025-03-16T00:00:00"/>
    <s v="O"/>
    <x v="0"/>
    <x v="2"/>
    <x v="0"/>
    <x v="3"/>
    <n v="14"/>
    <x v="9"/>
    <x v="3"/>
  </r>
  <r>
    <s v="TX501619"/>
    <x v="8"/>
    <x v="2"/>
    <n v="45.5"/>
    <n v="136.5"/>
    <x v="60"/>
    <d v="2025-03-04T00:00:00"/>
    <s v="M"/>
    <x v="2"/>
    <x v="1"/>
    <x v="0"/>
    <x v="3"/>
    <n v="2"/>
    <x v="9"/>
    <x v="1"/>
  </r>
  <r>
    <s v="TX501620"/>
    <x v="9"/>
    <x v="6"/>
    <n v="51"/>
    <n v="1377"/>
    <x v="60"/>
    <d v="2025-03-02T00:00:00"/>
    <s v="F"/>
    <x v="2"/>
    <x v="0"/>
    <x v="0"/>
    <x v="3"/>
    <n v="0"/>
    <x v="9"/>
    <x v="2"/>
  </r>
  <r>
    <s v="TX501621"/>
    <x v="4"/>
    <x v="13"/>
    <n v="20.399999999999999"/>
    <n v="122.39999999999999"/>
    <x v="60"/>
    <d v="2025-03-03T00:00:00"/>
    <s v="M"/>
    <x v="2"/>
    <x v="0"/>
    <x v="0"/>
    <x v="3"/>
    <n v="1"/>
    <x v="9"/>
    <x v="1"/>
  </r>
  <r>
    <s v="TX501622"/>
    <x v="10"/>
    <x v="1"/>
    <n v="30.4"/>
    <n v="60.8"/>
    <x v="60"/>
    <d v="2025-03-04T00:00:00"/>
    <s v="M"/>
    <x v="2"/>
    <x v="0"/>
    <x v="0"/>
    <x v="3"/>
    <n v="2"/>
    <x v="9"/>
    <x v="1"/>
  </r>
  <r>
    <s v="TX501623"/>
    <x v="7"/>
    <x v="1"/>
    <n v="71.5"/>
    <n v="143"/>
    <x v="60"/>
    <d v="2025-03-06T00:00:00"/>
    <s v="F"/>
    <x v="0"/>
    <x v="0"/>
    <x v="0"/>
    <x v="3"/>
    <n v="4"/>
    <x v="9"/>
    <x v="2"/>
  </r>
  <r>
    <s v="TX501624"/>
    <x v="8"/>
    <x v="13"/>
    <n v="18"/>
    <n v="108"/>
    <x v="60"/>
    <d v="2025-03-03T00:00:00"/>
    <s v="O"/>
    <x v="1"/>
    <x v="2"/>
    <x v="0"/>
    <x v="6"/>
    <n v="1"/>
    <x v="9"/>
    <x v="3"/>
  </r>
  <r>
    <s v="TX501625"/>
    <x v="15"/>
    <x v="5"/>
    <n v="45.6"/>
    <n v="501.6"/>
    <x v="60"/>
    <d v="2025-03-03T00:00:00"/>
    <s v="O"/>
    <x v="1"/>
    <x v="1"/>
    <x v="0"/>
    <x v="7"/>
    <n v="1"/>
    <x v="9"/>
    <x v="3"/>
  </r>
  <r>
    <s v="TX501626"/>
    <x v="9"/>
    <x v="0"/>
    <n v="31.8"/>
    <n v="31.8"/>
    <x v="60"/>
    <d v="2025-03-06T00:00:00"/>
    <s v="F"/>
    <x v="0"/>
    <x v="2"/>
    <x v="0"/>
    <x v="7"/>
    <n v="4"/>
    <x v="9"/>
    <x v="2"/>
  </r>
  <r>
    <s v="TX501627"/>
    <x v="8"/>
    <x v="9"/>
    <n v="19.899999999999999"/>
    <n v="99.5"/>
    <x v="60"/>
    <d v="2025-03-03T00:00:00"/>
    <s v="F"/>
    <x v="1"/>
    <x v="0"/>
    <x v="0"/>
    <x v="7"/>
    <n v="1"/>
    <x v="9"/>
    <x v="2"/>
  </r>
  <r>
    <s v="TX501628"/>
    <x v="12"/>
    <x v="11"/>
    <n v="52.1"/>
    <n v="468.90000000000003"/>
    <x v="60"/>
    <d v="2025-03-04T00:00:00"/>
    <s v="M"/>
    <x v="0"/>
    <x v="0"/>
    <x v="0"/>
    <x v="8"/>
    <n v="2"/>
    <x v="9"/>
    <x v="1"/>
  </r>
  <r>
    <s v="TX501629"/>
    <x v="1"/>
    <x v="3"/>
    <n v="45.9"/>
    <n v="321.3"/>
    <x v="60"/>
    <d v="2025-03-03T00:00:00"/>
    <s v="M"/>
    <x v="0"/>
    <x v="1"/>
    <x v="0"/>
    <x v="8"/>
    <n v="1"/>
    <x v="9"/>
    <x v="1"/>
  </r>
  <r>
    <s v="TX501630"/>
    <x v="1"/>
    <x v="7"/>
    <n v="115.9"/>
    <n v="1159"/>
    <x v="60"/>
    <d v="2025-03-05T00:00:00"/>
    <s v="F"/>
    <x v="1"/>
    <x v="0"/>
    <x v="0"/>
    <x v="8"/>
    <n v="3"/>
    <x v="9"/>
    <x v="2"/>
  </r>
  <r>
    <s v="TX501631"/>
    <x v="6"/>
    <x v="11"/>
    <n v="86"/>
    <n v="774"/>
    <x v="60"/>
    <d v="2025-03-07T00:00:00"/>
    <s v="F"/>
    <x v="0"/>
    <x v="1"/>
    <x v="0"/>
    <x v="8"/>
    <n v="5"/>
    <x v="9"/>
    <x v="2"/>
  </r>
  <r>
    <s v="TX501632"/>
    <x v="7"/>
    <x v="3"/>
    <n v="73.599999999999994"/>
    <n v="515.19999999999993"/>
    <x v="60"/>
    <d v="2025-03-04T00:00:00"/>
    <s v="F"/>
    <x v="0"/>
    <x v="0"/>
    <x v="0"/>
    <x v="17"/>
    <n v="2"/>
    <x v="9"/>
    <x v="2"/>
  </r>
  <r>
    <s v="TX501633"/>
    <x v="10"/>
    <x v="2"/>
    <n v="26.7"/>
    <n v="80.099999999999994"/>
    <x v="60"/>
    <d v="2025-03-06T00:00:00"/>
    <s v="F"/>
    <x v="0"/>
    <x v="0"/>
    <x v="0"/>
    <x v="11"/>
    <n v="4"/>
    <x v="9"/>
    <x v="2"/>
  </r>
  <r>
    <s v="TX501634"/>
    <x v="8"/>
    <x v="3"/>
    <n v="46.6"/>
    <n v="326.2"/>
    <x v="60"/>
    <d v="2025-03-04T00:00:00"/>
    <s v=""/>
    <x v="3"/>
    <x v="0"/>
    <x v="0"/>
    <x v="11"/>
    <n v="2"/>
    <x v="9"/>
    <x v="0"/>
  </r>
  <r>
    <s v="TX501635"/>
    <x v="3"/>
    <x v="2"/>
    <n v="84.6"/>
    <n v="253.79999999999998"/>
    <x v="60"/>
    <d v="2025-03-04T00:00:00"/>
    <s v="M"/>
    <x v="4"/>
    <x v="0"/>
    <x v="0"/>
    <x v="11"/>
    <n v="2"/>
    <x v="9"/>
    <x v="1"/>
  </r>
  <r>
    <s v="TX501636"/>
    <x v="7"/>
    <x v="21"/>
    <n v="41.5"/>
    <n v="581"/>
    <x v="60"/>
    <d v="2025-03-16T00:00:00"/>
    <s v="M"/>
    <x v="1"/>
    <x v="0"/>
    <x v="0"/>
    <x v="53"/>
    <n v="14"/>
    <x v="9"/>
    <x v="1"/>
  </r>
  <r>
    <s v="TX501637"/>
    <x v="8"/>
    <x v="0"/>
    <n v="32.799999999999997"/>
    <n v="32.799999999999997"/>
    <x v="60"/>
    <d v="2025-03-05T00:00:00"/>
    <s v="M"/>
    <x v="0"/>
    <x v="2"/>
    <x v="0"/>
    <x v="30"/>
    <n v="3"/>
    <x v="9"/>
    <x v="1"/>
  </r>
  <r>
    <s v="TX501638"/>
    <x v="4"/>
    <x v="3"/>
    <n v="46.7"/>
    <n v="326.90000000000003"/>
    <x v="60"/>
    <d v="2025-03-04T00:00:00"/>
    <s v="O"/>
    <x v="0"/>
    <x v="2"/>
    <x v="0"/>
    <x v="18"/>
    <n v="2"/>
    <x v="9"/>
    <x v="3"/>
  </r>
  <r>
    <s v="TX501639"/>
    <x v="15"/>
    <x v="3"/>
    <n v="21"/>
    <n v="147"/>
    <x v="60"/>
    <d v="2025-03-05T00:00:00"/>
    <s v="M"/>
    <x v="2"/>
    <x v="1"/>
    <x v="0"/>
    <x v="21"/>
    <n v="3"/>
    <x v="9"/>
    <x v="1"/>
  </r>
  <r>
    <s v="TX501640"/>
    <x v="5"/>
    <x v="3"/>
    <n v="29.4"/>
    <n v="205.79999999999998"/>
    <x v="60"/>
    <d v="2025-03-02T00:00:00"/>
    <s v="M"/>
    <x v="3"/>
    <x v="2"/>
    <x v="0"/>
    <x v="21"/>
    <n v="0"/>
    <x v="9"/>
    <x v="1"/>
  </r>
  <r>
    <s v="TX501641"/>
    <x v="15"/>
    <x v="1"/>
    <n v="32.299999999999997"/>
    <n v="64.599999999999994"/>
    <x v="60"/>
    <d v="2025-03-03T00:00:00"/>
    <s v="M"/>
    <x v="0"/>
    <x v="2"/>
    <x v="0"/>
    <x v="21"/>
    <n v="1"/>
    <x v="9"/>
    <x v="1"/>
  </r>
  <r>
    <s v="TX501642"/>
    <x v="6"/>
    <x v="0"/>
    <n v="42.2"/>
    <n v="42.2"/>
    <x v="61"/>
    <d v="2025-03-05T00:00:00"/>
    <s v="F"/>
    <x v="0"/>
    <x v="2"/>
    <x v="0"/>
    <x v="21"/>
    <n v="2"/>
    <x v="9"/>
    <x v="2"/>
  </r>
  <r>
    <s v="TX501643"/>
    <x v="6"/>
    <x v="0"/>
    <n v="53.7"/>
    <n v="53.7"/>
    <x v="61"/>
    <d v="2025-03-05T00:00:00"/>
    <s v="M"/>
    <x v="1"/>
    <x v="1"/>
    <x v="0"/>
    <x v="1"/>
    <n v="2"/>
    <x v="9"/>
    <x v="1"/>
  </r>
  <r>
    <s v="TX501644"/>
    <x v="2"/>
    <x v="1"/>
    <n v="123.9"/>
    <n v="247.8"/>
    <x v="61"/>
    <d v="2025-03-06T00:00:00"/>
    <s v="M"/>
    <x v="2"/>
    <x v="0"/>
    <x v="0"/>
    <x v="1"/>
    <n v="3"/>
    <x v="9"/>
    <x v="1"/>
  </r>
  <r>
    <s v="TX501645"/>
    <x v="4"/>
    <x v="2"/>
    <n v="35.9"/>
    <n v="107.69999999999999"/>
    <x v="61"/>
    <d v="2025-03-05T00:00:00"/>
    <s v="M"/>
    <x v="2"/>
    <x v="0"/>
    <x v="0"/>
    <x v="22"/>
    <n v="2"/>
    <x v="9"/>
    <x v="1"/>
  </r>
  <r>
    <s v="TX501646"/>
    <x v="4"/>
    <x v="1"/>
    <n v="23.6"/>
    <n v="47.2"/>
    <x v="61"/>
    <d v="2025-03-06T00:00:00"/>
    <s v="M"/>
    <x v="0"/>
    <x v="2"/>
    <x v="0"/>
    <x v="3"/>
    <n v="3"/>
    <x v="9"/>
    <x v="1"/>
  </r>
  <r>
    <s v="TX501647"/>
    <x v="15"/>
    <x v="36"/>
    <n v="45.7"/>
    <n v="1599.5"/>
    <x v="61"/>
    <d v="2025-03-04T00:00:00"/>
    <s v="M"/>
    <x v="0"/>
    <x v="1"/>
    <x v="0"/>
    <x v="3"/>
    <n v="1"/>
    <x v="9"/>
    <x v="1"/>
  </r>
  <r>
    <s v="TX501648"/>
    <x v="6"/>
    <x v="5"/>
    <n v="118.3"/>
    <n v="1301.3"/>
    <x v="61"/>
    <d v="2025-03-05T00:00:00"/>
    <s v="M"/>
    <x v="4"/>
    <x v="2"/>
    <x v="0"/>
    <x v="3"/>
    <n v="2"/>
    <x v="9"/>
    <x v="1"/>
  </r>
  <r>
    <s v="TX501649"/>
    <x v="19"/>
    <x v="0"/>
    <n v="36"/>
    <n v="36"/>
    <x v="61"/>
    <d v="2025-03-04T00:00:00"/>
    <s v="F"/>
    <x v="0"/>
    <x v="1"/>
    <x v="0"/>
    <x v="3"/>
    <n v="1"/>
    <x v="9"/>
    <x v="2"/>
  </r>
  <r>
    <s v="TX501650"/>
    <x v="8"/>
    <x v="1"/>
    <n v="37.1"/>
    <n v="74.2"/>
    <x v="61"/>
    <d v="2025-03-06T00:00:00"/>
    <s v="F"/>
    <x v="2"/>
    <x v="0"/>
    <x v="0"/>
    <x v="3"/>
    <n v="3"/>
    <x v="9"/>
    <x v="2"/>
  </r>
  <r>
    <s v="TX501651"/>
    <x v="18"/>
    <x v="2"/>
    <n v="45.1"/>
    <n v="135.30000000000001"/>
    <x v="61"/>
    <d v="2025-03-05T00:00:00"/>
    <s v="F"/>
    <x v="1"/>
    <x v="2"/>
    <x v="0"/>
    <x v="3"/>
    <n v="2"/>
    <x v="9"/>
    <x v="2"/>
  </r>
  <r>
    <s v="TX501652"/>
    <x v="5"/>
    <x v="27"/>
    <n v="37.9"/>
    <n v="606.4"/>
    <x v="61"/>
    <d v="2025-03-04T00:00:00"/>
    <s v="F"/>
    <x v="3"/>
    <x v="2"/>
    <x v="0"/>
    <x v="3"/>
    <n v="1"/>
    <x v="9"/>
    <x v="2"/>
  </r>
  <r>
    <s v="TX501653"/>
    <x v="2"/>
    <x v="1"/>
    <n v="121.6"/>
    <n v="243.2"/>
    <x v="61"/>
    <d v="2025-03-06T00:00:00"/>
    <s v="M"/>
    <x v="3"/>
    <x v="2"/>
    <x v="0"/>
    <x v="3"/>
    <n v="3"/>
    <x v="9"/>
    <x v="1"/>
  </r>
  <r>
    <s v="TX501654"/>
    <x v="5"/>
    <x v="3"/>
    <n v="38.200000000000003"/>
    <n v="267.40000000000003"/>
    <x v="61"/>
    <d v="2025-03-06T00:00:00"/>
    <s v="F"/>
    <x v="0"/>
    <x v="0"/>
    <x v="0"/>
    <x v="3"/>
    <n v="3"/>
    <x v="9"/>
    <x v="2"/>
  </r>
  <r>
    <s v="TX501655"/>
    <x v="17"/>
    <x v="1"/>
    <n v="37.200000000000003"/>
    <n v="74.400000000000006"/>
    <x v="61"/>
    <d v="2025-03-06T00:00:00"/>
    <s v="M"/>
    <x v="4"/>
    <x v="0"/>
    <x v="0"/>
    <x v="3"/>
    <n v="3"/>
    <x v="9"/>
    <x v="1"/>
  </r>
  <r>
    <s v="TX501656"/>
    <x v="2"/>
    <x v="12"/>
    <n v="115.7"/>
    <n v="462.8"/>
    <x v="61"/>
    <d v="2025-03-06T00:00:00"/>
    <s v="F"/>
    <x v="1"/>
    <x v="0"/>
    <x v="0"/>
    <x v="3"/>
    <n v="3"/>
    <x v="9"/>
    <x v="2"/>
  </r>
  <r>
    <s v="TX501657"/>
    <x v="2"/>
    <x v="13"/>
    <n v="99.4"/>
    <n v="596.40000000000009"/>
    <x v="61"/>
    <d v="2025-03-06T00:00:00"/>
    <s v="M"/>
    <x v="0"/>
    <x v="2"/>
    <x v="0"/>
    <x v="3"/>
    <n v="3"/>
    <x v="9"/>
    <x v="1"/>
  </r>
  <r>
    <s v="TX501658"/>
    <x v="11"/>
    <x v="0"/>
    <n v="38.700000000000003"/>
    <n v="38.700000000000003"/>
    <x v="61"/>
    <d v="2025-03-04T00:00:00"/>
    <s v="F"/>
    <x v="2"/>
    <x v="0"/>
    <x v="0"/>
    <x v="25"/>
    <n v="1"/>
    <x v="9"/>
    <x v="2"/>
  </r>
  <r>
    <s v="TX501659"/>
    <x v="4"/>
    <x v="1"/>
    <n v="35.5"/>
    <n v="71"/>
    <x v="61"/>
    <d v="2025-03-06T00:00:00"/>
    <s v="M"/>
    <x v="0"/>
    <x v="2"/>
    <x v="0"/>
    <x v="25"/>
    <n v="3"/>
    <x v="9"/>
    <x v="1"/>
  </r>
  <r>
    <s v="TX501660"/>
    <x v="2"/>
    <x v="12"/>
    <n v="93.3"/>
    <n v="373.2"/>
    <x v="61"/>
    <d v="2025-03-06T00:00:00"/>
    <s v="F"/>
    <x v="0"/>
    <x v="2"/>
    <x v="0"/>
    <x v="6"/>
    <n v="3"/>
    <x v="9"/>
    <x v="2"/>
  </r>
  <r>
    <s v="TX501661"/>
    <x v="16"/>
    <x v="0"/>
    <n v="31.4"/>
    <n v="31.4"/>
    <x v="61"/>
    <d v="2025-03-08T00:00:00"/>
    <s v="F"/>
    <x v="2"/>
    <x v="2"/>
    <x v="0"/>
    <x v="6"/>
    <n v="5"/>
    <x v="9"/>
    <x v="2"/>
  </r>
  <r>
    <s v="TX501662"/>
    <x v="1"/>
    <x v="0"/>
    <n v="85.9"/>
    <n v="85.9"/>
    <x v="61"/>
    <d v="2025-03-06T00:00:00"/>
    <s v="M"/>
    <x v="1"/>
    <x v="0"/>
    <x v="0"/>
    <x v="6"/>
    <n v="3"/>
    <x v="9"/>
    <x v="1"/>
  </r>
  <r>
    <s v="TX501663"/>
    <x v="6"/>
    <x v="8"/>
    <n v="41.7"/>
    <n v="333.6"/>
    <x v="61"/>
    <d v="2025-03-11T00:00:00"/>
    <s v="M"/>
    <x v="0"/>
    <x v="2"/>
    <x v="0"/>
    <x v="7"/>
    <n v="8"/>
    <x v="9"/>
    <x v="1"/>
  </r>
  <r>
    <s v="TX501664"/>
    <x v="8"/>
    <x v="12"/>
    <n v="31.5"/>
    <n v="126"/>
    <x v="61"/>
    <d v="2025-03-04T00:00:00"/>
    <s v="F"/>
    <x v="0"/>
    <x v="0"/>
    <x v="0"/>
    <x v="7"/>
    <n v="1"/>
    <x v="9"/>
    <x v="2"/>
  </r>
  <r>
    <s v="TX501665"/>
    <x v="8"/>
    <x v="1"/>
    <n v="36.299999999999997"/>
    <n v="72.599999999999994"/>
    <x v="61"/>
    <d v="2025-03-04T00:00:00"/>
    <s v="F"/>
    <x v="0"/>
    <x v="4"/>
    <x v="0"/>
    <x v="8"/>
    <n v="1"/>
    <x v="9"/>
    <x v="2"/>
  </r>
  <r>
    <s v="TX501666"/>
    <x v="8"/>
    <x v="2"/>
    <n v="33.4"/>
    <n v="100.19999999999999"/>
    <x v="61"/>
    <d v="2025-03-04T00:00:00"/>
    <s v="F"/>
    <x v="3"/>
    <x v="0"/>
    <x v="0"/>
    <x v="17"/>
    <n v="1"/>
    <x v="9"/>
    <x v="2"/>
  </r>
  <r>
    <s v="TX501667"/>
    <x v="2"/>
    <x v="2"/>
    <n v="65.2"/>
    <n v="195.60000000000002"/>
    <x v="61"/>
    <d v="2025-03-04T00:00:00"/>
    <s v="F"/>
    <x v="2"/>
    <x v="2"/>
    <x v="0"/>
    <x v="26"/>
    <n v="1"/>
    <x v="9"/>
    <x v="2"/>
  </r>
  <r>
    <s v="TX501668"/>
    <x v="8"/>
    <x v="11"/>
    <n v="65.5"/>
    <n v="589.5"/>
    <x v="61"/>
    <d v="2025-03-06T00:00:00"/>
    <s v="F"/>
    <x v="0"/>
    <x v="2"/>
    <x v="0"/>
    <x v="9"/>
    <n v="3"/>
    <x v="9"/>
    <x v="2"/>
  </r>
  <r>
    <s v="TX501669"/>
    <x v="6"/>
    <x v="2"/>
    <n v="52.8"/>
    <n v="158.39999999999998"/>
    <x v="61"/>
    <d v="2025-03-06T00:00:00"/>
    <s v="M"/>
    <x v="2"/>
    <x v="0"/>
    <x v="0"/>
    <x v="9"/>
    <n v="3"/>
    <x v="9"/>
    <x v="1"/>
  </r>
  <r>
    <s v="TX501670"/>
    <x v="9"/>
    <x v="9"/>
    <n v="24"/>
    <n v="120"/>
    <x v="61"/>
    <d v="2025-03-07T00:00:00"/>
    <s v="M"/>
    <x v="0"/>
    <x v="1"/>
    <x v="0"/>
    <x v="11"/>
    <n v="4"/>
    <x v="9"/>
    <x v="1"/>
  </r>
  <r>
    <s v="TX501671"/>
    <x v="3"/>
    <x v="2"/>
    <n v="51.2"/>
    <n v="153.60000000000002"/>
    <x v="61"/>
    <d v="2025-03-04T00:00:00"/>
    <s v="F"/>
    <x v="0"/>
    <x v="0"/>
    <x v="0"/>
    <x v="32"/>
    <n v="1"/>
    <x v="9"/>
    <x v="2"/>
  </r>
  <r>
    <s v="TX501672"/>
    <x v="5"/>
    <x v="2"/>
    <n v="28.3"/>
    <n v="84.9"/>
    <x v="61"/>
    <d v="2025-03-05T00:00:00"/>
    <s v="M"/>
    <x v="4"/>
    <x v="0"/>
    <x v="0"/>
    <x v="19"/>
    <n v="2"/>
    <x v="9"/>
    <x v="1"/>
  </r>
  <r>
    <s v="TX501673"/>
    <x v="6"/>
    <x v="2"/>
    <n v="42.3"/>
    <n v="126.89999999999999"/>
    <x v="61"/>
    <d v="2025-03-03T00:00:00"/>
    <s v="F"/>
    <x v="2"/>
    <x v="1"/>
    <x v="0"/>
    <x v="19"/>
    <n v="0"/>
    <x v="9"/>
    <x v="2"/>
  </r>
  <r>
    <s v="TX501674"/>
    <x v="2"/>
    <x v="8"/>
    <n v="163.30000000000001"/>
    <n v="1306.4000000000001"/>
    <x v="62"/>
    <d v="2025-03-05T00:00:00"/>
    <s v="F"/>
    <x v="1"/>
    <x v="0"/>
    <x v="0"/>
    <x v="13"/>
    <n v="1"/>
    <x v="9"/>
    <x v="2"/>
  </r>
  <r>
    <s v="TX501675"/>
    <x v="6"/>
    <x v="3"/>
    <n v="47.3"/>
    <n v="331.09999999999997"/>
    <x v="62"/>
    <d v="2025-03-07T00:00:00"/>
    <s v="F"/>
    <x v="4"/>
    <x v="1"/>
    <x v="0"/>
    <x v="21"/>
    <n v="3"/>
    <x v="9"/>
    <x v="2"/>
  </r>
  <r>
    <s v="TX501676"/>
    <x v="8"/>
    <x v="27"/>
    <n v="27.3"/>
    <n v="436.8"/>
    <x v="62"/>
    <d v="2025-03-05T00:00:00"/>
    <s v="F"/>
    <x v="2"/>
    <x v="0"/>
    <x v="0"/>
    <x v="21"/>
    <n v="1"/>
    <x v="9"/>
    <x v="2"/>
  </r>
  <r>
    <s v="TX501677"/>
    <x v="10"/>
    <x v="13"/>
    <n v="34.9"/>
    <n v="209.39999999999998"/>
    <x v="62"/>
    <d v="2025-03-15T00:00:00"/>
    <s v="F"/>
    <x v="0"/>
    <x v="0"/>
    <x v="0"/>
    <x v="21"/>
    <n v="11"/>
    <x v="9"/>
    <x v="2"/>
  </r>
  <r>
    <s v="TX501678"/>
    <x v="6"/>
    <x v="1"/>
    <n v="53.9"/>
    <n v="107.8"/>
    <x v="62"/>
    <d v="2025-03-07T00:00:00"/>
    <s v="O"/>
    <x v="0"/>
    <x v="4"/>
    <x v="0"/>
    <x v="1"/>
    <n v="3"/>
    <x v="9"/>
    <x v="3"/>
  </r>
  <r>
    <s v="TX501679"/>
    <x v="2"/>
    <x v="1"/>
    <n v="87.2"/>
    <n v="174.4"/>
    <x v="62"/>
    <d v="2025-03-05T00:00:00"/>
    <s v="F"/>
    <x v="0"/>
    <x v="1"/>
    <x v="0"/>
    <x v="1"/>
    <n v="1"/>
    <x v="9"/>
    <x v="2"/>
  </r>
  <r>
    <s v="TX501680"/>
    <x v="15"/>
    <x v="0"/>
    <n v="58.8"/>
    <n v="58.8"/>
    <x v="62"/>
    <d v="2025-03-06T00:00:00"/>
    <s v="F"/>
    <x v="2"/>
    <x v="0"/>
    <x v="0"/>
    <x v="44"/>
    <n v="2"/>
    <x v="9"/>
    <x v="2"/>
  </r>
  <r>
    <s v="TX501681"/>
    <x v="2"/>
    <x v="3"/>
    <n v="125.5"/>
    <n v="878.5"/>
    <x v="62"/>
    <d v="2025-03-05T00:00:00"/>
    <s v="M"/>
    <x v="2"/>
    <x v="4"/>
    <x v="0"/>
    <x v="22"/>
    <n v="1"/>
    <x v="9"/>
    <x v="1"/>
  </r>
  <r>
    <s v="TX501682"/>
    <x v="1"/>
    <x v="12"/>
    <n v="124.6"/>
    <n v="498.4"/>
    <x v="62"/>
    <d v="2025-03-06T00:00:00"/>
    <s v="F"/>
    <x v="0"/>
    <x v="1"/>
    <x v="0"/>
    <x v="22"/>
    <n v="2"/>
    <x v="9"/>
    <x v="2"/>
  </r>
  <r>
    <s v="TX501683"/>
    <x v="1"/>
    <x v="3"/>
    <n v="39.9"/>
    <n v="279.3"/>
    <x v="62"/>
    <d v="2025-03-05T00:00:00"/>
    <s v="M"/>
    <x v="2"/>
    <x v="1"/>
    <x v="0"/>
    <x v="3"/>
    <n v="1"/>
    <x v="9"/>
    <x v="1"/>
  </r>
  <r>
    <s v="TX501684"/>
    <x v="6"/>
    <x v="0"/>
    <n v="94.6"/>
    <n v="94.6"/>
    <x v="62"/>
    <d v="2025-03-18T00:00:00"/>
    <s v="F"/>
    <x v="0"/>
    <x v="1"/>
    <x v="0"/>
    <x v="3"/>
    <n v="14"/>
    <x v="9"/>
    <x v="2"/>
  </r>
  <r>
    <s v="TX501685"/>
    <x v="2"/>
    <x v="1"/>
    <n v="149.6"/>
    <n v="299.2"/>
    <x v="62"/>
    <d v="2025-03-05T00:00:00"/>
    <s v="F"/>
    <x v="0"/>
    <x v="0"/>
    <x v="0"/>
    <x v="3"/>
    <n v="1"/>
    <x v="9"/>
    <x v="2"/>
  </r>
  <r>
    <s v="TX501686"/>
    <x v="8"/>
    <x v="0"/>
    <n v="52.2"/>
    <n v="52.2"/>
    <x v="62"/>
    <d v="2025-03-05T00:00:00"/>
    <s v=""/>
    <x v="1"/>
    <x v="0"/>
    <x v="0"/>
    <x v="3"/>
    <n v="1"/>
    <x v="9"/>
    <x v="0"/>
  </r>
  <r>
    <s v="TX501687"/>
    <x v="6"/>
    <x v="1"/>
    <n v="96.5"/>
    <n v="193"/>
    <x v="62"/>
    <d v="2025-03-05T00:00:00"/>
    <s v="F"/>
    <x v="1"/>
    <x v="1"/>
    <x v="0"/>
    <x v="3"/>
    <n v="1"/>
    <x v="9"/>
    <x v="2"/>
  </r>
  <r>
    <s v="TX501688"/>
    <x v="8"/>
    <x v="1"/>
    <n v="79.8"/>
    <n v="159.6"/>
    <x v="62"/>
    <d v="2025-03-06T00:00:00"/>
    <s v="F"/>
    <x v="0"/>
    <x v="1"/>
    <x v="0"/>
    <x v="3"/>
    <n v="2"/>
    <x v="9"/>
    <x v="2"/>
  </r>
  <r>
    <s v="TX501689"/>
    <x v="8"/>
    <x v="2"/>
    <n v="35.6"/>
    <n v="106.80000000000001"/>
    <x v="62"/>
    <d v="2025-03-05T00:00:00"/>
    <s v="F"/>
    <x v="2"/>
    <x v="0"/>
    <x v="0"/>
    <x v="3"/>
    <n v="1"/>
    <x v="9"/>
    <x v="2"/>
  </r>
  <r>
    <s v="TX501690"/>
    <x v="16"/>
    <x v="0"/>
    <n v="50.2"/>
    <n v="50.2"/>
    <x v="62"/>
    <d v="2025-03-05T00:00:00"/>
    <s v="F"/>
    <x v="1"/>
    <x v="2"/>
    <x v="0"/>
    <x v="3"/>
    <n v="1"/>
    <x v="9"/>
    <x v="2"/>
  </r>
  <r>
    <s v="TX501691"/>
    <x v="1"/>
    <x v="2"/>
    <n v="55.3"/>
    <n v="165.89999999999998"/>
    <x v="62"/>
    <d v="2025-03-07T00:00:00"/>
    <s v="F"/>
    <x v="0"/>
    <x v="4"/>
    <x v="0"/>
    <x v="40"/>
    <n v="3"/>
    <x v="9"/>
    <x v="2"/>
  </r>
  <r>
    <s v="TX501692"/>
    <x v="6"/>
    <x v="3"/>
    <n v="104.5"/>
    <n v="731.5"/>
    <x v="62"/>
    <d v="2025-03-08T00:00:00"/>
    <s v="F"/>
    <x v="1"/>
    <x v="0"/>
    <x v="0"/>
    <x v="7"/>
    <n v="4"/>
    <x v="9"/>
    <x v="2"/>
  </r>
  <r>
    <s v="TX501693"/>
    <x v="6"/>
    <x v="12"/>
    <n v="66.5"/>
    <n v="266"/>
    <x v="62"/>
    <d v="2025-03-06T00:00:00"/>
    <s v="M"/>
    <x v="1"/>
    <x v="0"/>
    <x v="0"/>
    <x v="7"/>
    <n v="2"/>
    <x v="9"/>
    <x v="1"/>
  </r>
  <r>
    <s v="TX501694"/>
    <x v="10"/>
    <x v="8"/>
    <n v="38.299999999999997"/>
    <n v="306.39999999999998"/>
    <x v="62"/>
    <d v="2025-03-05T00:00:00"/>
    <s v="F"/>
    <x v="0"/>
    <x v="0"/>
    <x v="0"/>
    <x v="7"/>
    <n v="1"/>
    <x v="9"/>
    <x v="2"/>
  </r>
  <r>
    <s v="TX501695"/>
    <x v="6"/>
    <x v="2"/>
    <n v="63.8"/>
    <n v="191.39999999999998"/>
    <x v="62"/>
    <d v="2025-03-07T00:00:00"/>
    <s v="F"/>
    <x v="1"/>
    <x v="0"/>
    <x v="0"/>
    <x v="8"/>
    <n v="3"/>
    <x v="9"/>
    <x v="2"/>
  </r>
  <r>
    <s v="TX501696"/>
    <x v="15"/>
    <x v="0"/>
    <n v="21.4"/>
    <n v="21.4"/>
    <x v="62"/>
    <d v="2025-03-04T00:00:00"/>
    <s v="M"/>
    <x v="4"/>
    <x v="0"/>
    <x v="0"/>
    <x v="8"/>
    <n v="0"/>
    <x v="9"/>
    <x v="1"/>
  </r>
  <r>
    <s v="TX501697"/>
    <x v="8"/>
    <x v="12"/>
    <n v="44.1"/>
    <n v="176.4"/>
    <x v="62"/>
    <d v="2025-03-06T00:00:00"/>
    <s v="F"/>
    <x v="2"/>
    <x v="0"/>
    <x v="0"/>
    <x v="8"/>
    <n v="2"/>
    <x v="9"/>
    <x v="2"/>
  </r>
  <r>
    <s v="TX501698"/>
    <x v="5"/>
    <x v="8"/>
    <n v="57.6"/>
    <n v="460.8"/>
    <x v="62"/>
    <d v="2025-03-06T00:00:00"/>
    <s v="M"/>
    <x v="1"/>
    <x v="2"/>
    <x v="0"/>
    <x v="8"/>
    <n v="2"/>
    <x v="9"/>
    <x v="1"/>
  </r>
  <r>
    <s v="TX501699"/>
    <x v="9"/>
    <x v="1"/>
    <n v="20.3"/>
    <n v="40.6"/>
    <x v="62"/>
    <d v="2025-03-10T00:00:00"/>
    <s v="F"/>
    <x v="3"/>
    <x v="0"/>
    <x v="0"/>
    <x v="8"/>
    <n v="6"/>
    <x v="9"/>
    <x v="2"/>
  </r>
  <r>
    <s v="TX501700"/>
    <x v="8"/>
    <x v="0"/>
    <n v="22.9"/>
    <n v="22.9"/>
    <x v="62"/>
    <d v="2025-03-06T00:00:00"/>
    <s v="F"/>
    <x v="2"/>
    <x v="2"/>
    <x v="0"/>
    <x v="8"/>
    <n v="2"/>
    <x v="9"/>
    <x v="2"/>
  </r>
  <r>
    <s v="TX501701"/>
    <x v="6"/>
    <x v="12"/>
    <n v="105.9"/>
    <n v="423.6"/>
    <x v="62"/>
    <d v="2025-03-05T00:00:00"/>
    <s v="F"/>
    <x v="1"/>
    <x v="2"/>
    <x v="0"/>
    <x v="17"/>
    <n v="1"/>
    <x v="9"/>
    <x v="2"/>
  </r>
  <r>
    <s v="TX501702"/>
    <x v="1"/>
    <x v="11"/>
    <n v="37.4"/>
    <n v="336.59999999999997"/>
    <x v="62"/>
    <d v="2025-03-08T00:00:00"/>
    <s v="M"/>
    <x v="1"/>
    <x v="0"/>
    <x v="0"/>
    <x v="11"/>
    <n v="4"/>
    <x v="9"/>
    <x v="1"/>
  </r>
  <r>
    <s v="TX501703"/>
    <x v="18"/>
    <x v="1"/>
    <n v="79"/>
    <n v="158"/>
    <x v="62"/>
    <d v="2025-03-05T00:00:00"/>
    <s v="M"/>
    <x v="2"/>
    <x v="0"/>
    <x v="0"/>
    <x v="28"/>
    <n v="1"/>
    <x v="9"/>
    <x v="1"/>
  </r>
  <r>
    <s v="TX501704"/>
    <x v="0"/>
    <x v="2"/>
    <n v="19.3"/>
    <n v="57.900000000000006"/>
    <x v="62"/>
    <d v="2025-03-05T00:00:00"/>
    <s v="F"/>
    <x v="4"/>
    <x v="0"/>
    <x v="0"/>
    <x v="21"/>
    <n v="1"/>
    <x v="9"/>
    <x v="2"/>
  </r>
  <r>
    <s v="TX501705"/>
    <x v="0"/>
    <x v="0"/>
    <n v="24"/>
    <n v="24"/>
    <x v="62"/>
    <d v="2025-03-05T00:00:00"/>
    <s v="F"/>
    <x v="1"/>
    <x v="0"/>
    <x v="0"/>
    <x v="1"/>
    <n v="1"/>
    <x v="9"/>
    <x v="2"/>
  </r>
  <r>
    <s v="TX501706"/>
    <x v="6"/>
    <x v="9"/>
    <n v="71.3"/>
    <n v="356.5"/>
    <x v="62"/>
    <d v="2025-03-07T00:00:00"/>
    <s v="F"/>
    <x v="2"/>
    <x v="0"/>
    <x v="0"/>
    <x v="2"/>
    <n v="3"/>
    <x v="9"/>
    <x v="2"/>
  </r>
  <r>
    <s v="TX501707"/>
    <x v="5"/>
    <x v="1"/>
    <n v="166.2"/>
    <n v="332.4"/>
    <x v="62"/>
    <d v="2025-03-05T00:00:00"/>
    <s v="M"/>
    <x v="0"/>
    <x v="2"/>
    <x v="0"/>
    <x v="50"/>
    <n v="1"/>
    <x v="9"/>
    <x v="1"/>
  </r>
  <r>
    <s v="TX501708"/>
    <x v="6"/>
    <x v="0"/>
    <n v="81"/>
    <n v="81"/>
    <x v="62"/>
    <d v="2025-03-05T00:00:00"/>
    <s v="F"/>
    <x v="2"/>
    <x v="1"/>
    <x v="0"/>
    <x v="3"/>
    <n v="1"/>
    <x v="9"/>
    <x v="2"/>
  </r>
  <r>
    <s v="TX501709"/>
    <x v="10"/>
    <x v="13"/>
    <n v="38.5"/>
    <n v="231"/>
    <x v="62"/>
    <d v="2025-03-08T00:00:00"/>
    <s v="F"/>
    <x v="0"/>
    <x v="0"/>
    <x v="0"/>
    <x v="3"/>
    <n v="4"/>
    <x v="9"/>
    <x v="2"/>
  </r>
  <r>
    <s v="TX501710"/>
    <x v="6"/>
    <x v="0"/>
    <n v="86.1"/>
    <n v="86.1"/>
    <x v="62"/>
    <d v="2025-03-06T00:00:00"/>
    <s v="F"/>
    <x v="3"/>
    <x v="0"/>
    <x v="0"/>
    <x v="3"/>
    <n v="2"/>
    <x v="9"/>
    <x v="2"/>
  </r>
  <r>
    <s v="TX501711"/>
    <x v="2"/>
    <x v="9"/>
    <n v="51"/>
    <n v="255"/>
    <x v="62"/>
    <d v="2025-03-05T00:00:00"/>
    <s v="M"/>
    <x v="0"/>
    <x v="1"/>
    <x v="0"/>
    <x v="3"/>
    <n v="1"/>
    <x v="9"/>
    <x v="1"/>
  </r>
  <r>
    <s v="TX501712"/>
    <x v="3"/>
    <x v="9"/>
    <n v="115.4"/>
    <n v="577"/>
    <x v="62"/>
    <d v="2025-03-05T00:00:00"/>
    <s v="M"/>
    <x v="0"/>
    <x v="0"/>
    <x v="0"/>
    <x v="3"/>
    <n v="1"/>
    <x v="9"/>
    <x v="1"/>
  </r>
  <r>
    <s v="TX501713"/>
    <x v="6"/>
    <x v="12"/>
    <n v="176.5"/>
    <n v="706"/>
    <x v="62"/>
    <d v="2025-03-05T00:00:00"/>
    <s v="F"/>
    <x v="2"/>
    <x v="2"/>
    <x v="0"/>
    <x v="3"/>
    <n v="1"/>
    <x v="9"/>
    <x v="2"/>
  </r>
  <r>
    <s v="TX501714"/>
    <x v="7"/>
    <x v="2"/>
    <n v="48.9"/>
    <n v="146.69999999999999"/>
    <x v="62"/>
    <d v="2025-03-05T00:00:00"/>
    <s v="M"/>
    <x v="4"/>
    <x v="0"/>
    <x v="0"/>
    <x v="3"/>
    <n v="1"/>
    <x v="9"/>
    <x v="1"/>
  </r>
  <r>
    <s v="TX501715"/>
    <x v="8"/>
    <x v="2"/>
    <n v="18.100000000000001"/>
    <n v="54.300000000000004"/>
    <x v="62"/>
    <d v="2025-03-11T00:00:00"/>
    <s v="F"/>
    <x v="1"/>
    <x v="2"/>
    <x v="0"/>
    <x v="29"/>
    <n v="7"/>
    <x v="9"/>
    <x v="2"/>
  </r>
  <r>
    <s v="TX501716"/>
    <x v="2"/>
    <x v="1"/>
    <n v="118.5"/>
    <n v="237"/>
    <x v="62"/>
    <d v="2025-03-07T00:00:00"/>
    <s v="M"/>
    <x v="1"/>
    <x v="2"/>
    <x v="0"/>
    <x v="16"/>
    <n v="3"/>
    <x v="9"/>
    <x v="1"/>
  </r>
  <r>
    <s v="TX501717"/>
    <x v="15"/>
    <x v="3"/>
    <n v="59.1"/>
    <n v="413.7"/>
    <x v="62"/>
    <d v="2025-03-05T00:00:00"/>
    <s v="F"/>
    <x v="3"/>
    <x v="0"/>
    <x v="0"/>
    <x v="25"/>
    <n v="1"/>
    <x v="9"/>
    <x v="2"/>
  </r>
  <r>
    <s v="TX501718"/>
    <x v="4"/>
    <x v="0"/>
    <n v="21.2"/>
    <n v="21.2"/>
    <x v="62"/>
    <d v="2025-03-05T00:00:00"/>
    <s v="F"/>
    <x v="0"/>
    <x v="1"/>
    <x v="0"/>
    <x v="6"/>
    <n v="1"/>
    <x v="9"/>
    <x v="2"/>
  </r>
  <r>
    <s v="TX501719"/>
    <x v="6"/>
    <x v="1"/>
    <n v="68.8"/>
    <n v="137.6"/>
    <x v="62"/>
    <d v="2025-03-09T00:00:00"/>
    <s v="F"/>
    <x v="3"/>
    <x v="2"/>
    <x v="0"/>
    <x v="6"/>
    <n v="5"/>
    <x v="9"/>
    <x v="2"/>
  </r>
  <r>
    <s v="TX501720"/>
    <x v="6"/>
    <x v="1"/>
    <n v="65.400000000000006"/>
    <n v="130.80000000000001"/>
    <x v="62"/>
    <d v="2025-03-08T00:00:00"/>
    <s v="F"/>
    <x v="0"/>
    <x v="0"/>
    <x v="0"/>
    <x v="6"/>
    <n v="4"/>
    <x v="9"/>
    <x v="2"/>
  </r>
  <r>
    <s v="TX501721"/>
    <x v="12"/>
    <x v="9"/>
    <n v="66.3"/>
    <n v="331.5"/>
    <x v="63"/>
    <d v="2025-03-08T00:00:00"/>
    <s v="F"/>
    <x v="4"/>
    <x v="0"/>
    <x v="0"/>
    <x v="6"/>
    <n v="3"/>
    <x v="9"/>
    <x v="2"/>
  </r>
  <r>
    <s v="TX501722"/>
    <x v="6"/>
    <x v="2"/>
    <n v="97.5"/>
    <n v="292.5"/>
    <x v="63"/>
    <d v="2025-03-05T00:00:00"/>
    <s v="M"/>
    <x v="3"/>
    <x v="0"/>
    <x v="0"/>
    <x v="8"/>
    <n v="0"/>
    <x v="9"/>
    <x v="1"/>
  </r>
  <r>
    <s v="TX501723"/>
    <x v="1"/>
    <x v="1"/>
    <n v="44"/>
    <n v="88"/>
    <x v="63"/>
    <d v="2025-03-08T00:00:00"/>
    <s v="F"/>
    <x v="1"/>
    <x v="2"/>
    <x v="0"/>
    <x v="8"/>
    <n v="3"/>
    <x v="9"/>
    <x v="2"/>
  </r>
  <r>
    <s v="TX501724"/>
    <x v="0"/>
    <x v="0"/>
    <n v="21.9"/>
    <n v="21.9"/>
    <x v="63"/>
    <d v="2025-03-06T00:00:00"/>
    <s v="M"/>
    <x v="0"/>
    <x v="0"/>
    <x v="0"/>
    <x v="8"/>
    <n v="1"/>
    <x v="9"/>
    <x v="1"/>
  </r>
  <r>
    <s v="TX501725"/>
    <x v="4"/>
    <x v="3"/>
    <n v="21.5"/>
    <n v="150.5"/>
    <x v="63"/>
    <d v="2025-03-07T00:00:00"/>
    <s v="F"/>
    <x v="1"/>
    <x v="2"/>
    <x v="0"/>
    <x v="9"/>
    <n v="2"/>
    <x v="9"/>
    <x v="2"/>
  </r>
  <r>
    <s v="TX501726"/>
    <x v="12"/>
    <x v="13"/>
    <n v="133"/>
    <n v="798"/>
    <x v="63"/>
    <d v="2025-03-06T00:00:00"/>
    <s v="O"/>
    <x v="0"/>
    <x v="2"/>
    <x v="0"/>
    <x v="10"/>
    <n v="1"/>
    <x v="9"/>
    <x v="3"/>
  </r>
  <r>
    <s v="TX501727"/>
    <x v="8"/>
    <x v="1"/>
    <n v="47.7"/>
    <n v="95.4"/>
    <x v="63"/>
    <d v="2025-03-09T00:00:00"/>
    <s v="M"/>
    <x v="0"/>
    <x v="2"/>
    <x v="0"/>
    <x v="10"/>
    <n v="4"/>
    <x v="9"/>
    <x v="1"/>
  </r>
  <r>
    <s v="TX501728"/>
    <x v="16"/>
    <x v="2"/>
    <n v="58.1"/>
    <n v="174.3"/>
    <x v="63"/>
    <d v="2025-03-06T00:00:00"/>
    <s v="F"/>
    <x v="0"/>
    <x v="0"/>
    <x v="0"/>
    <x v="11"/>
    <n v="1"/>
    <x v="9"/>
    <x v="2"/>
  </r>
  <r>
    <s v="TX501729"/>
    <x v="12"/>
    <x v="12"/>
    <n v="66.599999999999994"/>
    <n v="266.39999999999998"/>
    <x v="63"/>
    <d v="2025-03-06T00:00:00"/>
    <s v=""/>
    <x v="0"/>
    <x v="0"/>
    <x v="0"/>
    <x v="11"/>
    <n v="1"/>
    <x v="9"/>
    <x v="0"/>
  </r>
  <r>
    <s v="TX501730"/>
    <x v="9"/>
    <x v="0"/>
    <n v="24.1"/>
    <n v="24.1"/>
    <x v="63"/>
    <d v="2025-03-08T00:00:00"/>
    <s v="M"/>
    <x v="2"/>
    <x v="1"/>
    <x v="0"/>
    <x v="19"/>
    <n v="3"/>
    <x v="9"/>
    <x v="1"/>
  </r>
  <r>
    <s v="TX501731"/>
    <x v="10"/>
    <x v="9"/>
    <n v="51.5"/>
    <n v="257.5"/>
    <x v="63"/>
    <d v="2025-03-10T00:00:00"/>
    <s v="F"/>
    <x v="0"/>
    <x v="0"/>
    <x v="0"/>
    <x v="13"/>
    <n v="5"/>
    <x v="9"/>
    <x v="2"/>
  </r>
  <r>
    <s v="TX501732"/>
    <x v="0"/>
    <x v="5"/>
    <n v="25.8"/>
    <n v="283.8"/>
    <x v="63"/>
    <d v="2025-03-09T00:00:00"/>
    <s v="F"/>
    <x v="3"/>
    <x v="4"/>
    <x v="0"/>
    <x v="21"/>
    <n v="4"/>
    <x v="9"/>
    <x v="2"/>
  </r>
  <r>
    <s v="TX501733"/>
    <x v="9"/>
    <x v="12"/>
    <n v="47.7"/>
    <n v="190.8"/>
    <x v="63"/>
    <d v="2025-03-05T00:00:00"/>
    <s v="F"/>
    <x v="0"/>
    <x v="1"/>
    <x v="0"/>
    <x v="21"/>
    <n v="0"/>
    <x v="9"/>
    <x v="2"/>
  </r>
  <r>
    <s v="TX501734"/>
    <x v="7"/>
    <x v="9"/>
    <n v="73.599999999999994"/>
    <n v="368"/>
    <x v="63"/>
    <d v="2025-03-09T00:00:00"/>
    <s v="M"/>
    <x v="1"/>
    <x v="0"/>
    <x v="0"/>
    <x v="21"/>
    <n v="4"/>
    <x v="9"/>
    <x v="1"/>
  </r>
  <r>
    <s v="TX501735"/>
    <x v="5"/>
    <x v="3"/>
    <n v="91.2"/>
    <n v="638.4"/>
    <x v="63"/>
    <d v="2025-03-06T00:00:00"/>
    <s v="M"/>
    <x v="1"/>
    <x v="2"/>
    <x v="0"/>
    <x v="21"/>
    <n v="1"/>
    <x v="9"/>
    <x v="1"/>
  </r>
  <r>
    <s v="TX501736"/>
    <x v="1"/>
    <x v="8"/>
    <n v="36.200000000000003"/>
    <n v="289.60000000000002"/>
    <x v="63"/>
    <d v="2025-03-05T00:00:00"/>
    <s v="M"/>
    <x v="2"/>
    <x v="2"/>
    <x v="0"/>
    <x v="1"/>
    <n v="0"/>
    <x v="9"/>
    <x v="1"/>
  </r>
  <r>
    <s v="TX501737"/>
    <x v="9"/>
    <x v="8"/>
    <n v="98"/>
    <n v="784"/>
    <x v="63"/>
    <d v="2025-03-09T00:00:00"/>
    <s v="F"/>
    <x v="2"/>
    <x v="0"/>
    <x v="0"/>
    <x v="2"/>
    <n v="4"/>
    <x v="9"/>
    <x v="2"/>
  </r>
  <r>
    <s v="TX501738"/>
    <x v="1"/>
    <x v="8"/>
    <n v="43.6"/>
    <n v="348.8"/>
    <x v="63"/>
    <d v="2025-03-06T00:00:00"/>
    <s v="F"/>
    <x v="2"/>
    <x v="0"/>
    <x v="0"/>
    <x v="22"/>
    <n v="1"/>
    <x v="9"/>
    <x v="2"/>
  </r>
  <r>
    <s v="TX501739"/>
    <x v="8"/>
    <x v="7"/>
    <n v="37.799999999999997"/>
    <n v="378"/>
    <x v="63"/>
    <d v="2025-03-05T00:00:00"/>
    <s v="O"/>
    <x v="0"/>
    <x v="0"/>
    <x v="0"/>
    <x v="50"/>
    <n v="0"/>
    <x v="9"/>
    <x v="3"/>
  </r>
  <r>
    <s v="TX501740"/>
    <x v="17"/>
    <x v="9"/>
    <n v="63.7"/>
    <n v="318.5"/>
    <x v="63"/>
    <d v="2025-03-08T00:00:00"/>
    <s v="F"/>
    <x v="2"/>
    <x v="1"/>
    <x v="0"/>
    <x v="3"/>
    <n v="3"/>
    <x v="9"/>
    <x v="2"/>
  </r>
  <r>
    <s v="TX501741"/>
    <x v="5"/>
    <x v="11"/>
    <n v="62.9"/>
    <n v="566.1"/>
    <x v="63"/>
    <d v="2025-03-10T00:00:00"/>
    <s v="M"/>
    <x v="3"/>
    <x v="2"/>
    <x v="0"/>
    <x v="3"/>
    <n v="5"/>
    <x v="9"/>
    <x v="1"/>
  </r>
  <r>
    <s v="TX501742"/>
    <x v="6"/>
    <x v="3"/>
    <n v="61.7"/>
    <n v="431.90000000000003"/>
    <x v="63"/>
    <d v="2025-03-08T00:00:00"/>
    <s v="F"/>
    <x v="2"/>
    <x v="2"/>
    <x v="0"/>
    <x v="3"/>
    <n v="3"/>
    <x v="9"/>
    <x v="2"/>
  </r>
  <r>
    <s v="TX501743"/>
    <x v="18"/>
    <x v="21"/>
    <n v="36.5"/>
    <n v="511"/>
    <x v="63"/>
    <d v="2025-03-06T00:00:00"/>
    <s v="M"/>
    <x v="0"/>
    <x v="2"/>
    <x v="0"/>
    <x v="3"/>
    <n v="1"/>
    <x v="9"/>
    <x v="1"/>
  </r>
  <r>
    <s v="TX501744"/>
    <x v="11"/>
    <x v="2"/>
    <n v="98.6"/>
    <n v="295.79999999999995"/>
    <x v="63"/>
    <d v="2025-03-08T00:00:00"/>
    <s v="O"/>
    <x v="0"/>
    <x v="4"/>
    <x v="0"/>
    <x v="3"/>
    <n v="3"/>
    <x v="9"/>
    <x v="3"/>
  </r>
  <r>
    <s v="TX501745"/>
    <x v="8"/>
    <x v="1"/>
    <n v="19.2"/>
    <n v="38.4"/>
    <x v="63"/>
    <d v="2025-03-15T00:00:00"/>
    <s v="M"/>
    <x v="0"/>
    <x v="0"/>
    <x v="0"/>
    <x v="3"/>
    <n v="10"/>
    <x v="9"/>
    <x v="1"/>
  </r>
  <r>
    <s v="TX501746"/>
    <x v="3"/>
    <x v="13"/>
    <n v="55.6"/>
    <n v="333.6"/>
    <x v="63"/>
    <d v="2025-03-09T00:00:00"/>
    <s v="F"/>
    <x v="0"/>
    <x v="2"/>
    <x v="0"/>
    <x v="3"/>
    <n v="4"/>
    <x v="9"/>
    <x v="2"/>
  </r>
  <r>
    <s v="TX501747"/>
    <x v="5"/>
    <x v="13"/>
    <n v="56.4"/>
    <n v="338.4"/>
    <x v="63"/>
    <d v="2025-03-06T00:00:00"/>
    <s v="F"/>
    <x v="1"/>
    <x v="0"/>
    <x v="0"/>
    <x v="3"/>
    <n v="1"/>
    <x v="9"/>
    <x v="2"/>
  </r>
  <r>
    <s v="TX501748"/>
    <x v="4"/>
    <x v="8"/>
    <n v="43.1"/>
    <n v="344.8"/>
    <x v="63"/>
    <d v="2025-03-09T00:00:00"/>
    <s v="F"/>
    <x v="4"/>
    <x v="0"/>
    <x v="0"/>
    <x v="3"/>
    <n v="4"/>
    <x v="9"/>
    <x v="2"/>
  </r>
  <r>
    <s v="TX501749"/>
    <x v="1"/>
    <x v="1"/>
    <n v="77.3"/>
    <n v="154.6"/>
    <x v="63"/>
    <d v="2025-03-07T00:00:00"/>
    <s v="M"/>
    <x v="0"/>
    <x v="0"/>
    <x v="0"/>
    <x v="6"/>
    <n v="2"/>
    <x v="9"/>
    <x v="1"/>
  </r>
  <r>
    <s v="TX501750"/>
    <x v="9"/>
    <x v="8"/>
    <n v="38.299999999999997"/>
    <n v="306.39999999999998"/>
    <x v="63"/>
    <d v="2025-03-06T00:00:00"/>
    <s v="M"/>
    <x v="0"/>
    <x v="0"/>
    <x v="0"/>
    <x v="7"/>
    <n v="1"/>
    <x v="9"/>
    <x v="1"/>
  </r>
  <r>
    <s v="TX501751"/>
    <x v="0"/>
    <x v="3"/>
    <n v="16.8"/>
    <n v="117.60000000000001"/>
    <x v="63"/>
    <d v="2025-03-08T00:00:00"/>
    <s v="M"/>
    <x v="2"/>
    <x v="1"/>
    <x v="0"/>
    <x v="8"/>
    <n v="3"/>
    <x v="9"/>
    <x v="1"/>
  </r>
  <r>
    <s v="TX501752"/>
    <x v="2"/>
    <x v="2"/>
    <n v="63.2"/>
    <n v="189.60000000000002"/>
    <x v="63"/>
    <d v="2025-03-06T00:00:00"/>
    <s v="F"/>
    <x v="0"/>
    <x v="2"/>
    <x v="0"/>
    <x v="8"/>
    <n v="1"/>
    <x v="9"/>
    <x v="2"/>
  </r>
  <r>
    <s v="TX501753"/>
    <x v="14"/>
    <x v="44"/>
    <n v="39.700000000000003"/>
    <n v="913.1"/>
    <x v="63"/>
    <d v="2025-03-06T00:00:00"/>
    <s v="M"/>
    <x v="0"/>
    <x v="0"/>
    <x v="0"/>
    <x v="8"/>
    <n v="1"/>
    <x v="9"/>
    <x v="1"/>
  </r>
  <r>
    <s v="TX501754"/>
    <x v="10"/>
    <x v="2"/>
    <n v="45.8"/>
    <n v="137.39999999999998"/>
    <x v="63"/>
    <d v="2025-03-06T00:00:00"/>
    <s v="F"/>
    <x v="1"/>
    <x v="2"/>
    <x v="0"/>
    <x v="8"/>
    <n v="1"/>
    <x v="9"/>
    <x v="2"/>
  </r>
  <r>
    <s v="TX501755"/>
    <x v="0"/>
    <x v="13"/>
    <n v="12.4"/>
    <n v="74.400000000000006"/>
    <x v="63"/>
    <d v="2025-03-08T00:00:00"/>
    <s v="M"/>
    <x v="0"/>
    <x v="0"/>
    <x v="0"/>
    <x v="8"/>
    <n v="3"/>
    <x v="9"/>
    <x v="1"/>
  </r>
  <r>
    <s v="TX501756"/>
    <x v="14"/>
    <x v="2"/>
    <n v="50.8"/>
    <n v="152.39999999999998"/>
    <x v="64"/>
    <d v="2025-03-06T00:00:00"/>
    <s v="F"/>
    <x v="4"/>
    <x v="0"/>
    <x v="0"/>
    <x v="17"/>
    <n v="0"/>
    <x v="9"/>
    <x v="2"/>
  </r>
  <r>
    <s v="TX501757"/>
    <x v="9"/>
    <x v="0"/>
    <n v="76"/>
    <n v="76"/>
    <x v="64"/>
    <d v="2025-03-10T00:00:00"/>
    <s v="O"/>
    <x v="2"/>
    <x v="2"/>
    <x v="0"/>
    <x v="17"/>
    <n v="4"/>
    <x v="9"/>
    <x v="3"/>
  </r>
  <r>
    <s v="TX501758"/>
    <x v="1"/>
    <x v="1"/>
    <n v="51.9"/>
    <n v="103.8"/>
    <x v="64"/>
    <d v="2025-03-07T00:00:00"/>
    <s v="M"/>
    <x v="1"/>
    <x v="2"/>
    <x v="0"/>
    <x v="26"/>
    <n v="1"/>
    <x v="9"/>
    <x v="1"/>
  </r>
  <r>
    <s v="TX501759"/>
    <x v="2"/>
    <x v="1"/>
    <n v="93.4"/>
    <n v="186.8"/>
    <x v="64"/>
    <d v="2025-03-13T00:00:00"/>
    <s v="M"/>
    <x v="0"/>
    <x v="3"/>
    <x v="0"/>
    <x v="11"/>
    <n v="7"/>
    <x v="9"/>
    <x v="1"/>
  </r>
  <r>
    <s v="TX501760"/>
    <x v="7"/>
    <x v="13"/>
    <n v="30.8"/>
    <n v="184.8"/>
    <x v="64"/>
    <d v="2025-03-09T00:00:00"/>
    <s v="F"/>
    <x v="1"/>
    <x v="0"/>
    <x v="0"/>
    <x v="11"/>
    <n v="3"/>
    <x v="9"/>
    <x v="2"/>
  </r>
  <r>
    <s v="TX501761"/>
    <x v="2"/>
    <x v="0"/>
    <n v="143.19999999999999"/>
    <n v="143.19999999999999"/>
    <x v="64"/>
    <d v="2025-03-09T00:00:00"/>
    <s v="M"/>
    <x v="2"/>
    <x v="0"/>
    <x v="0"/>
    <x v="11"/>
    <n v="3"/>
    <x v="9"/>
    <x v="1"/>
  </r>
  <r>
    <s v="TX501762"/>
    <x v="6"/>
    <x v="5"/>
    <n v="40.4"/>
    <n v="444.4"/>
    <x v="64"/>
    <d v="2025-03-08T00:00:00"/>
    <s v="M"/>
    <x v="2"/>
    <x v="2"/>
    <x v="0"/>
    <x v="18"/>
    <n v="2"/>
    <x v="9"/>
    <x v="1"/>
  </r>
  <r>
    <s v="TX501763"/>
    <x v="2"/>
    <x v="10"/>
    <n v="131.5"/>
    <n v="2498.5"/>
    <x v="64"/>
    <d v="2025-03-08T00:00:00"/>
    <s v="M"/>
    <x v="1"/>
    <x v="1"/>
    <x v="0"/>
    <x v="18"/>
    <n v="2"/>
    <x v="9"/>
    <x v="1"/>
  </r>
  <r>
    <s v="TX501764"/>
    <x v="18"/>
    <x v="3"/>
    <n v="61.6"/>
    <n v="431.2"/>
    <x v="64"/>
    <d v="2025-03-07T00:00:00"/>
    <s v="M"/>
    <x v="2"/>
    <x v="0"/>
    <x v="0"/>
    <x v="21"/>
    <n v="1"/>
    <x v="9"/>
    <x v="1"/>
  </r>
  <r>
    <s v="TX501765"/>
    <x v="9"/>
    <x v="9"/>
    <n v="32.700000000000003"/>
    <n v="163.5"/>
    <x v="64"/>
    <d v="2025-03-08T00:00:00"/>
    <s v="M"/>
    <x v="2"/>
    <x v="0"/>
    <x v="0"/>
    <x v="1"/>
    <n v="2"/>
    <x v="9"/>
    <x v="1"/>
  </r>
  <r>
    <s v="TX501766"/>
    <x v="0"/>
    <x v="7"/>
    <n v="13.7"/>
    <n v="137"/>
    <x v="64"/>
    <d v="2025-03-07T00:00:00"/>
    <s v="M"/>
    <x v="0"/>
    <x v="2"/>
    <x v="0"/>
    <x v="3"/>
    <n v="1"/>
    <x v="9"/>
    <x v="1"/>
  </r>
  <r>
    <s v="TX501767"/>
    <x v="0"/>
    <x v="12"/>
    <n v="32.1"/>
    <n v="128.4"/>
    <x v="64"/>
    <d v="2025-03-07T00:00:00"/>
    <s v="M"/>
    <x v="4"/>
    <x v="1"/>
    <x v="0"/>
    <x v="3"/>
    <n v="1"/>
    <x v="9"/>
    <x v="1"/>
  </r>
  <r>
    <s v="TX501768"/>
    <x v="14"/>
    <x v="8"/>
    <n v="12"/>
    <n v="96"/>
    <x v="64"/>
    <d v="2025-03-07T00:00:00"/>
    <s v="M"/>
    <x v="1"/>
    <x v="0"/>
    <x v="0"/>
    <x v="24"/>
    <n v="1"/>
    <x v="9"/>
    <x v="1"/>
  </r>
  <r>
    <s v="TX501769"/>
    <x v="12"/>
    <x v="0"/>
    <n v="64.3"/>
    <n v="64.3"/>
    <x v="64"/>
    <d v="2025-03-08T00:00:00"/>
    <s v="F"/>
    <x v="2"/>
    <x v="2"/>
    <x v="0"/>
    <x v="6"/>
    <n v="2"/>
    <x v="9"/>
    <x v="2"/>
  </r>
  <r>
    <s v="TX501770"/>
    <x v="1"/>
    <x v="2"/>
    <n v="58.2"/>
    <n v="174.60000000000002"/>
    <x v="64"/>
    <d v="2025-03-08T00:00:00"/>
    <s v="F"/>
    <x v="1"/>
    <x v="2"/>
    <x v="0"/>
    <x v="6"/>
    <n v="2"/>
    <x v="9"/>
    <x v="2"/>
  </r>
  <r>
    <s v="TX501771"/>
    <x v="6"/>
    <x v="12"/>
    <n v="59.2"/>
    <n v="236.8"/>
    <x v="64"/>
    <d v="2025-03-06T00:00:00"/>
    <s v="M"/>
    <x v="1"/>
    <x v="2"/>
    <x v="0"/>
    <x v="6"/>
    <n v="0"/>
    <x v="9"/>
    <x v="1"/>
  </r>
  <r>
    <s v="TX501772"/>
    <x v="10"/>
    <x v="5"/>
    <n v="35.6"/>
    <n v="391.6"/>
    <x v="64"/>
    <d v="2025-03-13T00:00:00"/>
    <s v="M"/>
    <x v="0"/>
    <x v="2"/>
    <x v="0"/>
    <x v="8"/>
    <n v="7"/>
    <x v="9"/>
    <x v="1"/>
  </r>
  <r>
    <s v="TX501773"/>
    <x v="16"/>
    <x v="8"/>
    <n v="37"/>
    <n v="296"/>
    <x v="64"/>
    <d v="2025-03-10T00:00:00"/>
    <s v="F"/>
    <x v="2"/>
    <x v="1"/>
    <x v="0"/>
    <x v="8"/>
    <n v="4"/>
    <x v="9"/>
    <x v="2"/>
  </r>
  <r>
    <s v="TX501774"/>
    <x v="1"/>
    <x v="15"/>
    <n v="80.8"/>
    <n v="1050.3999999999999"/>
    <x v="64"/>
    <d v="2025-03-08T00:00:00"/>
    <s v="F"/>
    <x v="0"/>
    <x v="0"/>
    <x v="0"/>
    <x v="8"/>
    <n v="2"/>
    <x v="9"/>
    <x v="2"/>
  </r>
  <r>
    <s v="TX501775"/>
    <x v="8"/>
    <x v="1"/>
    <n v="63.2"/>
    <n v="126.4"/>
    <x v="64"/>
    <d v="2025-03-07T00:00:00"/>
    <s v="M"/>
    <x v="0"/>
    <x v="1"/>
    <x v="0"/>
    <x v="8"/>
    <n v="1"/>
    <x v="9"/>
    <x v="1"/>
  </r>
  <r>
    <s v="TX501776"/>
    <x v="3"/>
    <x v="1"/>
    <n v="40.799999999999997"/>
    <n v="81.599999999999994"/>
    <x v="64"/>
    <d v="2025-03-08T00:00:00"/>
    <s v="M"/>
    <x v="0"/>
    <x v="1"/>
    <x v="0"/>
    <x v="17"/>
    <n v="2"/>
    <x v="9"/>
    <x v="1"/>
  </r>
  <r>
    <s v="TX501777"/>
    <x v="13"/>
    <x v="13"/>
    <n v="25.7"/>
    <n v="154.19999999999999"/>
    <x v="64"/>
    <d v="2025-03-08T00:00:00"/>
    <s v="M"/>
    <x v="4"/>
    <x v="0"/>
    <x v="0"/>
    <x v="18"/>
    <n v="2"/>
    <x v="9"/>
    <x v="1"/>
  </r>
  <r>
    <s v="TX501778"/>
    <x v="16"/>
    <x v="1"/>
    <n v="49.9"/>
    <n v="99.8"/>
    <x v="64"/>
    <d v="2025-03-09T00:00:00"/>
    <s v="M"/>
    <x v="0"/>
    <x v="0"/>
    <x v="0"/>
    <x v="20"/>
    <n v="3"/>
    <x v="9"/>
    <x v="1"/>
  </r>
  <r>
    <s v="TX501779"/>
    <x v="8"/>
    <x v="1"/>
    <n v="20.2"/>
    <n v="40.4"/>
    <x v="64"/>
    <d v="2025-03-08T00:00:00"/>
    <s v="F"/>
    <x v="3"/>
    <x v="0"/>
    <x v="0"/>
    <x v="21"/>
    <n v="2"/>
    <x v="9"/>
    <x v="2"/>
  </r>
  <r>
    <s v="TX501780"/>
    <x v="6"/>
    <x v="2"/>
    <n v="48.4"/>
    <n v="145.19999999999999"/>
    <x v="64"/>
    <d v="2025-03-11T00:00:00"/>
    <s v="F"/>
    <x v="0"/>
    <x v="2"/>
    <x v="0"/>
    <x v="21"/>
    <n v="5"/>
    <x v="9"/>
    <x v="2"/>
  </r>
  <r>
    <s v="TX501781"/>
    <x v="6"/>
    <x v="1"/>
    <n v="81"/>
    <n v="162"/>
    <x v="64"/>
    <d v="2025-03-07T00:00:00"/>
    <s v="F"/>
    <x v="1"/>
    <x v="2"/>
    <x v="0"/>
    <x v="21"/>
    <n v="1"/>
    <x v="9"/>
    <x v="2"/>
  </r>
  <r>
    <s v="TX501782"/>
    <x v="8"/>
    <x v="13"/>
    <n v="19.899999999999999"/>
    <n v="119.39999999999999"/>
    <x v="64"/>
    <d v="2025-03-09T00:00:00"/>
    <s v="F"/>
    <x v="0"/>
    <x v="1"/>
    <x v="0"/>
    <x v="22"/>
    <n v="3"/>
    <x v="9"/>
    <x v="2"/>
  </r>
  <r>
    <s v="TX501783"/>
    <x v="4"/>
    <x v="12"/>
    <n v="32.200000000000003"/>
    <n v="128.80000000000001"/>
    <x v="64"/>
    <d v="2025-03-16T00:00:00"/>
    <s v="M"/>
    <x v="0"/>
    <x v="0"/>
    <x v="0"/>
    <x v="22"/>
    <n v="10"/>
    <x v="9"/>
    <x v="1"/>
  </r>
  <r>
    <s v="TX501784"/>
    <x v="5"/>
    <x v="2"/>
    <n v="76.8"/>
    <n v="230.39999999999998"/>
    <x v="64"/>
    <d v="2025-03-07T00:00:00"/>
    <s v="F"/>
    <x v="0"/>
    <x v="1"/>
    <x v="0"/>
    <x v="3"/>
    <n v="1"/>
    <x v="9"/>
    <x v="2"/>
  </r>
  <r>
    <s v="TX501785"/>
    <x v="6"/>
    <x v="1"/>
    <n v="41.9"/>
    <n v="83.8"/>
    <x v="64"/>
    <d v="2025-03-08T00:00:00"/>
    <s v="F"/>
    <x v="0"/>
    <x v="0"/>
    <x v="0"/>
    <x v="3"/>
    <n v="2"/>
    <x v="9"/>
    <x v="2"/>
  </r>
  <r>
    <s v="TX501786"/>
    <x v="0"/>
    <x v="3"/>
    <n v="34"/>
    <n v="238"/>
    <x v="64"/>
    <d v="2025-03-08T00:00:00"/>
    <s v="F"/>
    <x v="1"/>
    <x v="2"/>
    <x v="0"/>
    <x v="3"/>
    <n v="2"/>
    <x v="9"/>
    <x v="2"/>
  </r>
  <r>
    <s v="TX501787"/>
    <x v="7"/>
    <x v="3"/>
    <n v="61.3"/>
    <n v="429.09999999999997"/>
    <x v="64"/>
    <d v="2025-03-06T00:00:00"/>
    <s v="F"/>
    <x v="4"/>
    <x v="2"/>
    <x v="0"/>
    <x v="3"/>
    <n v="0"/>
    <x v="9"/>
    <x v="2"/>
  </r>
  <r>
    <s v="TX501788"/>
    <x v="9"/>
    <x v="0"/>
    <n v="54.7"/>
    <n v="54.7"/>
    <x v="65"/>
    <d v="2025-03-08T00:00:00"/>
    <s v="M"/>
    <x v="0"/>
    <x v="1"/>
    <x v="0"/>
    <x v="3"/>
    <n v="1"/>
    <x v="9"/>
    <x v="1"/>
  </r>
  <r>
    <s v="TX501789"/>
    <x v="6"/>
    <x v="7"/>
    <n v="84.7"/>
    <n v="847"/>
    <x v="65"/>
    <d v="2025-03-11T00:00:00"/>
    <s v="F"/>
    <x v="0"/>
    <x v="0"/>
    <x v="0"/>
    <x v="3"/>
    <n v="4"/>
    <x v="9"/>
    <x v="2"/>
  </r>
  <r>
    <s v="TX501790"/>
    <x v="1"/>
    <x v="2"/>
    <n v="93.4"/>
    <n v="280.20000000000005"/>
    <x v="65"/>
    <d v="2025-03-11T00:00:00"/>
    <s v="F"/>
    <x v="3"/>
    <x v="0"/>
    <x v="0"/>
    <x v="3"/>
    <n v="4"/>
    <x v="9"/>
    <x v="2"/>
  </r>
  <r>
    <s v="TX501791"/>
    <x v="8"/>
    <x v="9"/>
    <n v="27"/>
    <n v="135"/>
    <x v="65"/>
    <d v="2025-03-10T00:00:00"/>
    <s v="M"/>
    <x v="0"/>
    <x v="1"/>
    <x v="0"/>
    <x v="3"/>
    <n v="3"/>
    <x v="9"/>
    <x v="1"/>
  </r>
  <r>
    <s v="TX501792"/>
    <x v="0"/>
    <x v="12"/>
    <n v="10.9"/>
    <n v="43.6"/>
    <x v="65"/>
    <d v="2025-03-08T00:00:00"/>
    <s v="M"/>
    <x v="2"/>
    <x v="0"/>
    <x v="0"/>
    <x v="3"/>
    <n v="1"/>
    <x v="9"/>
    <x v="1"/>
  </r>
  <r>
    <s v="TX501793"/>
    <x v="16"/>
    <x v="2"/>
    <n v="48"/>
    <n v="144"/>
    <x v="65"/>
    <d v="2025-03-12T00:00:00"/>
    <s v="F"/>
    <x v="4"/>
    <x v="0"/>
    <x v="0"/>
    <x v="3"/>
    <n v="5"/>
    <x v="9"/>
    <x v="2"/>
  </r>
  <r>
    <s v="TX501794"/>
    <x v="5"/>
    <x v="1"/>
    <n v="67.900000000000006"/>
    <n v="135.80000000000001"/>
    <x v="65"/>
    <d v="2025-03-08T00:00:00"/>
    <s v="M"/>
    <x v="0"/>
    <x v="2"/>
    <x v="0"/>
    <x v="23"/>
    <n v="1"/>
    <x v="9"/>
    <x v="1"/>
  </r>
  <r>
    <s v="TX501795"/>
    <x v="4"/>
    <x v="2"/>
    <n v="36"/>
    <n v="108"/>
    <x v="65"/>
    <d v="2025-03-08T00:00:00"/>
    <s v="M"/>
    <x v="1"/>
    <x v="0"/>
    <x v="0"/>
    <x v="6"/>
    <n v="1"/>
    <x v="9"/>
    <x v="1"/>
  </r>
  <r>
    <s v="TX501796"/>
    <x v="2"/>
    <x v="0"/>
    <n v="128.80000000000001"/>
    <n v="128.80000000000001"/>
    <x v="65"/>
    <d v="2025-03-08T00:00:00"/>
    <s v="M"/>
    <x v="4"/>
    <x v="2"/>
    <x v="0"/>
    <x v="6"/>
    <n v="1"/>
    <x v="9"/>
    <x v="1"/>
  </r>
  <r>
    <s v="TX501797"/>
    <x v="18"/>
    <x v="3"/>
    <n v="33.299999999999997"/>
    <n v="233.09999999999997"/>
    <x v="65"/>
    <d v="2025-03-08T00:00:00"/>
    <s v="F"/>
    <x v="3"/>
    <x v="0"/>
    <x v="0"/>
    <x v="8"/>
    <n v="1"/>
    <x v="9"/>
    <x v="2"/>
  </r>
  <r>
    <s v="TX501798"/>
    <x v="10"/>
    <x v="2"/>
    <n v="37.799999999999997"/>
    <n v="113.39999999999999"/>
    <x v="65"/>
    <d v="2025-03-09T00:00:00"/>
    <s v="M"/>
    <x v="1"/>
    <x v="2"/>
    <x v="0"/>
    <x v="8"/>
    <n v="2"/>
    <x v="9"/>
    <x v="1"/>
  </r>
  <r>
    <s v="TX501799"/>
    <x v="5"/>
    <x v="2"/>
    <n v="26"/>
    <n v="78"/>
    <x v="65"/>
    <d v="2025-03-12T00:00:00"/>
    <s v="F"/>
    <x v="0"/>
    <x v="0"/>
    <x v="0"/>
    <x v="8"/>
    <n v="5"/>
    <x v="9"/>
    <x v="2"/>
  </r>
  <r>
    <s v="TX501800"/>
    <x v="8"/>
    <x v="10"/>
    <n v="28.3"/>
    <n v="537.70000000000005"/>
    <x v="65"/>
    <d v="2025-03-08T00:00:00"/>
    <s v="F"/>
    <x v="3"/>
    <x v="4"/>
    <x v="0"/>
    <x v="8"/>
    <n v="1"/>
    <x v="9"/>
    <x v="2"/>
  </r>
  <r>
    <s v="TX501801"/>
    <x v="8"/>
    <x v="12"/>
    <n v="31.3"/>
    <n v="125.2"/>
    <x v="65"/>
    <d v="2025-03-07T00:00:00"/>
    <s v="F"/>
    <x v="0"/>
    <x v="0"/>
    <x v="0"/>
    <x v="8"/>
    <n v="0"/>
    <x v="9"/>
    <x v="2"/>
  </r>
  <r>
    <s v="TX501802"/>
    <x v="7"/>
    <x v="2"/>
    <n v="69.5"/>
    <n v="208.5"/>
    <x v="65"/>
    <d v="2025-03-08T00:00:00"/>
    <s v="F"/>
    <x v="3"/>
    <x v="2"/>
    <x v="0"/>
    <x v="8"/>
    <n v="1"/>
    <x v="9"/>
    <x v="2"/>
  </r>
  <r>
    <s v="TX501803"/>
    <x v="0"/>
    <x v="1"/>
    <n v="16.7"/>
    <n v="33.4"/>
    <x v="65"/>
    <d v="2025-03-08T00:00:00"/>
    <s v="F"/>
    <x v="3"/>
    <x v="1"/>
    <x v="0"/>
    <x v="8"/>
    <n v="1"/>
    <x v="9"/>
    <x v="2"/>
  </r>
  <r>
    <s v="TX501804"/>
    <x v="9"/>
    <x v="1"/>
    <n v="62.6"/>
    <n v="125.2"/>
    <x v="65"/>
    <d v="2025-03-08T00:00:00"/>
    <s v="M"/>
    <x v="2"/>
    <x v="2"/>
    <x v="0"/>
    <x v="9"/>
    <n v="1"/>
    <x v="9"/>
    <x v="1"/>
  </r>
  <r>
    <s v="TX501805"/>
    <x v="7"/>
    <x v="0"/>
    <n v="81.2"/>
    <n v="81.2"/>
    <x v="65"/>
    <d v="2025-03-13T00:00:00"/>
    <s v="M"/>
    <x v="4"/>
    <x v="4"/>
    <x v="0"/>
    <x v="9"/>
    <n v="6"/>
    <x v="9"/>
    <x v="1"/>
  </r>
  <r>
    <s v="TX501806"/>
    <x v="0"/>
    <x v="7"/>
    <n v="12.7"/>
    <n v="127"/>
    <x v="65"/>
    <d v="2025-03-08T00:00:00"/>
    <s v="F"/>
    <x v="0"/>
    <x v="2"/>
    <x v="0"/>
    <x v="9"/>
    <n v="1"/>
    <x v="9"/>
    <x v="2"/>
  </r>
  <r>
    <s v="TX501807"/>
    <x v="7"/>
    <x v="12"/>
    <n v="77.7"/>
    <n v="310.8"/>
    <x v="66"/>
    <d v="2025-03-12T00:00:00"/>
    <s v="M"/>
    <x v="1"/>
    <x v="0"/>
    <x v="0"/>
    <x v="11"/>
    <n v="4"/>
    <x v="9"/>
    <x v="1"/>
  </r>
  <r>
    <s v="TX501808"/>
    <x v="5"/>
    <x v="1"/>
    <n v="37.299999999999997"/>
    <n v="74.599999999999994"/>
    <x v="66"/>
    <d v="2025-03-09T00:00:00"/>
    <s v="F"/>
    <x v="0"/>
    <x v="2"/>
    <x v="0"/>
    <x v="18"/>
    <n v="1"/>
    <x v="9"/>
    <x v="2"/>
  </r>
  <r>
    <s v="TX501809"/>
    <x v="10"/>
    <x v="12"/>
    <n v="35.6"/>
    <n v="142.4"/>
    <x v="66"/>
    <d v="2025-03-10T00:00:00"/>
    <s v="F"/>
    <x v="1"/>
    <x v="1"/>
    <x v="0"/>
    <x v="19"/>
    <n v="2"/>
    <x v="9"/>
    <x v="2"/>
  </r>
  <r>
    <s v="TX501810"/>
    <x v="2"/>
    <x v="2"/>
    <n v="95"/>
    <n v="285"/>
    <x v="66"/>
    <d v="2025-03-12T00:00:00"/>
    <s v="F"/>
    <x v="2"/>
    <x v="2"/>
    <x v="0"/>
    <x v="56"/>
    <n v="4"/>
    <x v="9"/>
    <x v="2"/>
  </r>
  <r>
    <s v="TX501811"/>
    <x v="2"/>
    <x v="12"/>
    <n v="172.1"/>
    <n v="688.4"/>
    <x v="66"/>
    <d v="2025-03-12T00:00:00"/>
    <s v="O"/>
    <x v="2"/>
    <x v="2"/>
    <x v="0"/>
    <x v="21"/>
    <n v="4"/>
    <x v="9"/>
    <x v="3"/>
  </r>
  <r>
    <s v="TX501812"/>
    <x v="2"/>
    <x v="1"/>
    <n v="233"/>
    <n v="466"/>
    <x v="66"/>
    <d v="2025-03-11T00:00:00"/>
    <s v="F"/>
    <x v="1"/>
    <x v="0"/>
    <x v="0"/>
    <x v="21"/>
    <n v="3"/>
    <x v="9"/>
    <x v="2"/>
  </r>
  <r>
    <s v="TX501813"/>
    <x v="0"/>
    <x v="0"/>
    <n v="43.5"/>
    <n v="43.5"/>
    <x v="66"/>
    <d v="2025-03-09T00:00:00"/>
    <s v="F"/>
    <x v="2"/>
    <x v="2"/>
    <x v="0"/>
    <x v="21"/>
    <n v="1"/>
    <x v="9"/>
    <x v="2"/>
  </r>
  <r>
    <s v="TX501814"/>
    <x v="9"/>
    <x v="1"/>
    <n v="47.8"/>
    <n v="95.6"/>
    <x v="66"/>
    <d v="2025-03-11T00:00:00"/>
    <s v="M"/>
    <x v="4"/>
    <x v="2"/>
    <x v="0"/>
    <x v="1"/>
    <n v="3"/>
    <x v="9"/>
    <x v="1"/>
  </r>
  <r>
    <s v="TX501815"/>
    <x v="12"/>
    <x v="1"/>
    <n v="65.8"/>
    <n v="131.6"/>
    <x v="66"/>
    <d v="2025-03-10T00:00:00"/>
    <s v="F"/>
    <x v="0"/>
    <x v="3"/>
    <x v="0"/>
    <x v="33"/>
    <n v="2"/>
    <x v="9"/>
    <x v="2"/>
  </r>
  <r>
    <s v="TX501816"/>
    <x v="15"/>
    <x v="5"/>
    <n v="38.700000000000003"/>
    <n v="425.70000000000005"/>
    <x v="66"/>
    <d v="2025-03-08T00:00:00"/>
    <s v="M"/>
    <x v="0"/>
    <x v="0"/>
    <x v="0"/>
    <x v="22"/>
    <n v="0"/>
    <x v="9"/>
    <x v="1"/>
  </r>
  <r>
    <s v="TX501817"/>
    <x v="3"/>
    <x v="12"/>
    <n v="55.7"/>
    <n v="222.8"/>
    <x v="66"/>
    <d v="2025-03-10T00:00:00"/>
    <s v="O"/>
    <x v="0"/>
    <x v="1"/>
    <x v="0"/>
    <x v="22"/>
    <n v="2"/>
    <x v="9"/>
    <x v="3"/>
  </r>
  <r>
    <s v="TX501818"/>
    <x v="7"/>
    <x v="1"/>
    <n v="102.4"/>
    <n v="204.8"/>
    <x v="66"/>
    <d v="2025-03-08T00:00:00"/>
    <s v="F"/>
    <x v="1"/>
    <x v="0"/>
    <x v="0"/>
    <x v="3"/>
    <n v="0"/>
    <x v="9"/>
    <x v="2"/>
  </r>
  <r>
    <s v="TX501819"/>
    <x v="1"/>
    <x v="0"/>
    <n v="92"/>
    <n v="92"/>
    <x v="66"/>
    <d v="2025-03-12T00:00:00"/>
    <s v=""/>
    <x v="2"/>
    <x v="0"/>
    <x v="0"/>
    <x v="3"/>
    <n v="4"/>
    <x v="9"/>
    <x v="0"/>
  </r>
  <r>
    <s v="TX501820"/>
    <x v="6"/>
    <x v="12"/>
    <n v="75.900000000000006"/>
    <n v="303.60000000000002"/>
    <x v="66"/>
    <d v="2025-03-10T00:00:00"/>
    <s v="F"/>
    <x v="1"/>
    <x v="0"/>
    <x v="0"/>
    <x v="3"/>
    <n v="2"/>
    <x v="9"/>
    <x v="2"/>
  </r>
  <r>
    <s v="TX501821"/>
    <x v="1"/>
    <x v="12"/>
    <n v="36.200000000000003"/>
    <n v="144.80000000000001"/>
    <x v="66"/>
    <d v="2025-03-09T00:00:00"/>
    <s v="F"/>
    <x v="1"/>
    <x v="0"/>
    <x v="0"/>
    <x v="3"/>
    <n v="1"/>
    <x v="9"/>
    <x v="2"/>
  </r>
  <r>
    <s v="TX501822"/>
    <x v="6"/>
    <x v="45"/>
    <n v="83.5"/>
    <n v="7264.5"/>
    <x v="66"/>
    <d v="2025-03-10T00:00:00"/>
    <s v=""/>
    <x v="3"/>
    <x v="0"/>
    <x v="0"/>
    <x v="3"/>
    <n v="2"/>
    <x v="9"/>
    <x v="0"/>
  </r>
  <r>
    <s v="TX501823"/>
    <x v="19"/>
    <x v="4"/>
    <n v="52.4"/>
    <n v="628.79999999999995"/>
    <x v="66"/>
    <d v="2025-03-08T00:00:00"/>
    <s v="M"/>
    <x v="2"/>
    <x v="0"/>
    <x v="0"/>
    <x v="3"/>
    <n v="0"/>
    <x v="9"/>
    <x v="1"/>
  </r>
  <r>
    <s v="TX501824"/>
    <x v="12"/>
    <x v="2"/>
    <n v="69.5"/>
    <n v="208.5"/>
    <x v="66"/>
    <d v="2025-03-09T00:00:00"/>
    <s v="O"/>
    <x v="4"/>
    <x v="0"/>
    <x v="0"/>
    <x v="3"/>
    <n v="1"/>
    <x v="9"/>
    <x v="3"/>
  </r>
  <r>
    <s v="TX501825"/>
    <x v="0"/>
    <x v="0"/>
    <n v="15.5"/>
    <n v="15.5"/>
    <x v="66"/>
    <d v="2025-03-10T00:00:00"/>
    <s v="M"/>
    <x v="0"/>
    <x v="0"/>
    <x v="0"/>
    <x v="3"/>
    <n v="2"/>
    <x v="9"/>
    <x v="1"/>
  </r>
  <r>
    <s v="TX501826"/>
    <x v="4"/>
    <x v="12"/>
    <n v="35.200000000000003"/>
    <n v="140.80000000000001"/>
    <x v="66"/>
    <d v="2025-03-09T00:00:00"/>
    <s v="F"/>
    <x v="2"/>
    <x v="2"/>
    <x v="0"/>
    <x v="3"/>
    <n v="1"/>
    <x v="9"/>
    <x v="2"/>
  </r>
  <r>
    <s v="TX501827"/>
    <x v="8"/>
    <x v="13"/>
    <n v="34.6"/>
    <n v="207.60000000000002"/>
    <x v="66"/>
    <d v="2025-03-09T00:00:00"/>
    <s v=""/>
    <x v="0"/>
    <x v="1"/>
    <x v="0"/>
    <x v="3"/>
    <n v="1"/>
    <x v="9"/>
    <x v="0"/>
  </r>
  <r>
    <s v="TX501828"/>
    <x v="4"/>
    <x v="0"/>
    <n v="21.3"/>
    <n v="21.3"/>
    <x v="67"/>
    <d v="2025-03-10T00:00:00"/>
    <s v="M"/>
    <x v="2"/>
    <x v="1"/>
    <x v="0"/>
    <x v="3"/>
    <n v="1"/>
    <x v="10"/>
    <x v="1"/>
  </r>
  <r>
    <s v="TX501829"/>
    <x v="6"/>
    <x v="1"/>
    <n v="136.5"/>
    <n v="273"/>
    <x v="67"/>
    <d v="2025-03-15T00:00:00"/>
    <s v="F"/>
    <x v="0"/>
    <x v="0"/>
    <x v="0"/>
    <x v="37"/>
    <n v="6"/>
    <x v="10"/>
    <x v="2"/>
  </r>
  <r>
    <s v="TX501830"/>
    <x v="9"/>
    <x v="3"/>
    <n v="30.7"/>
    <n v="214.9"/>
    <x v="67"/>
    <d v="2025-03-10T00:00:00"/>
    <s v="M"/>
    <x v="2"/>
    <x v="2"/>
    <x v="0"/>
    <x v="25"/>
    <n v="1"/>
    <x v="10"/>
    <x v="1"/>
  </r>
  <r>
    <s v="TX501831"/>
    <x v="1"/>
    <x v="1"/>
    <n v="61.6"/>
    <n v="123.2"/>
    <x v="67"/>
    <d v="2025-03-10T00:00:00"/>
    <s v="F"/>
    <x v="2"/>
    <x v="2"/>
    <x v="0"/>
    <x v="23"/>
    <n v="1"/>
    <x v="10"/>
    <x v="2"/>
  </r>
  <r>
    <s v="TX501832"/>
    <x v="6"/>
    <x v="12"/>
    <n v="54.3"/>
    <n v="217.2"/>
    <x v="67"/>
    <d v="2025-03-11T00:00:00"/>
    <s v=""/>
    <x v="4"/>
    <x v="0"/>
    <x v="0"/>
    <x v="7"/>
    <n v="2"/>
    <x v="10"/>
    <x v="0"/>
  </r>
  <r>
    <s v="TX501833"/>
    <x v="1"/>
    <x v="1"/>
    <n v="44.1"/>
    <n v="88.2"/>
    <x v="67"/>
    <d v="2025-03-21T00:00:00"/>
    <s v="F"/>
    <x v="0"/>
    <x v="2"/>
    <x v="0"/>
    <x v="8"/>
    <n v="12"/>
    <x v="10"/>
    <x v="2"/>
  </r>
  <r>
    <s v="TX501834"/>
    <x v="8"/>
    <x v="12"/>
    <n v="43.5"/>
    <n v="174"/>
    <x v="67"/>
    <d v="2025-03-15T00:00:00"/>
    <s v="M"/>
    <x v="3"/>
    <x v="0"/>
    <x v="0"/>
    <x v="8"/>
    <n v="6"/>
    <x v="10"/>
    <x v="1"/>
  </r>
  <r>
    <s v="TX501835"/>
    <x v="8"/>
    <x v="2"/>
    <n v="48.2"/>
    <n v="144.60000000000002"/>
    <x v="67"/>
    <d v="2025-03-13T00:00:00"/>
    <s v="M"/>
    <x v="3"/>
    <x v="1"/>
    <x v="0"/>
    <x v="8"/>
    <n v="4"/>
    <x v="10"/>
    <x v="1"/>
  </r>
  <r>
    <s v="TX501836"/>
    <x v="19"/>
    <x v="0"/>
    <n v="13.7"/>
    <n v="13.7"/>
    <x v="67"/>
    <d v="2025-03-10T00:00:00"/>
    <s v="F"/>
    <x v="2"/>
    <x v="2"/>
    <x v="0"/>
    <x v="8"/>
    <n v="1"/>
    <x v="10"/>
    <x v="2"/>
  </r>
  <r>
    <s v="TX501837"/>
    <x v="2"/>
    <x v="1"/>
    <n v="110.5"/>
    <n v="221"/>
    <x v="67"/>
    <d v="2025-03-10T00:00:00"/>
    <s v="F"/>
    <x v="0"/>
    <x v="1"/>
    <x v="0"/>
    <x v="8"/>
    <n v="1"/>
    <x v="10"/>
    <x v="2"/>
  </r>
  <r>
    <s v="TX501838"/>
    <x v="8"/>
    <x v="2"/>
    <n v="26"/>
    <n v="78"/>
    <x v="67"/>
    <d v="2025-03-14T00:00:00"/>
    <s v="F"/>
    <x v="1"/>
    <x v="1"/>
    <x v="0"/>
    <x v="8"/>
    <n v="5"/>
    <x v="10"/>
    <x v="2"/>
  </r>
  <r>
    <s v="TX501839"/>
    <x v="2"/>
    <x v="7"/>
    <n v="140.69999999999999"/>
    <n v="1407"/>
    <x v="67"/>
    <d v="2025-03-15T00:00:00"/>
    <s v="M"/>
    <x v="3"/>
    <x v="1"/>
    <x v="0"/>
    <x v="8"/>
    <n v="6"/>
    <x v="10"/>
    <x v="1"/>
  </r>
  <r>
    <s v="TX501840"/>
    <x v="17"/>
    <x v="1"/>
    <n v="41.7"/>
    <n v="83.4"/>
    <x v="67"/>
    <d v="2025-03-17T00:00:00"/>
    <s v="F"/>
    <x v="0"/>
    <x v="4"/>
    <x v="0"/>
    <x v="8"/>
    <n v="8"/>
    <x v="10"/>
    <x v="2"/>
  </r>
  <r>
    <s v="TX501841"/>
    <x v="2"/>
    <x v="1"/>
    <n v="135.1"/>
    <n v="270.2"/>
    <x v="67"/>
    <d v="2025-03-10T00:00:00"/>
    <s v="M"/>
    <x v="0"/>
    <x v="2"/>
    <x v="0"/>
    <x v="17"/>
    <n v="1"/>
    <x v="10"/>
    <x v="1"/>
  </r>
  <r>
    <s v="TX501842"/>
    <x v="12"/>
    <x v="32"/>
    <n v="95.5"/>
    <n v="2101"/>
    <x v="67"/>
    <d v="2025-03-10T00:00:00"/>
    <s v="F"/>
    <x v="4"/>
    <x v="4"/>
    <x v="0"/>
    <x v="26"/>
    <n v="1"/>
    <x v="10"/>
    <x v="2"/>
  </r>
  <r>
    <s v="TX501843"/>
    <x v="15"/>
    <x v="0"/>
    <n v="25.5"/>
    <n v="25.5"/>
    <x v="67"/>
    <d v="2025-03-12T00:00:00"/>
    <s v=""/>
    <x v="2"/>
    <x v="2"/>
    <x v="0"/>
    <x v="11"/>
    <n v="3"/>
    <x v="10"/>
    <x v="0"/>
  </r>
  <r>
    <s v="TX501844"/>
    <x v="1"/>
    <x v="0"/>
    <n v="42.6"/>
    <n v="42.6"/>
    <x v="67"/>
    <d v="2025-03-13T00:00:00"/>
    <s v="F"/>
    <x v="0"/>
    <x v="0"/>
    <x v="0"/>
    <x v="11"/>
    <n v="4"/>
    <x v="10"/>
    <x v="2"/>
  </r>
  <r>
    <s v="TX501845"/>
    <x v="8"/>
    <x v="20"/>
    <n v="32.4"/>
    <n v="486"/>
    <x v="67"/>
    <d v="2025-03-10T00:00:00"/>
    <s v="M"/>
    <x v="1"/>
    <x v="1"/>
    <x v="0"/>
    <x v="11"/>
    <n v="1"/>
    <x v="10"/>
    <x v="1"/>
  </r>
  <r>
    <s v="TX501846"/>
    <x v="4"/>
    <x v="12"/>
    <n v="20.2"/>
    <n v="80.8"/>
    <x v="67"/>
    <d v="2025-03-10T00:00:00"/>
    <s v="O"/>
    <x v="2"/>
    <x v="0"/>
    <x v="0"/>
    <x v="11"/>
    <n v="1"/>
    <x v="10"/>
    <x v="3"/>
  </r>
  <r>
    <s v="TX501847"/>
    <x v="16"/>
    <x v="2"/>
    <n v="52.5"/>
    <n v="157.5"/>
    <x v="67"/>
    <d v="2025-03-14T00:00:00"/>
    <s v="F"/>
    <x v="4"/>
    <x v="0"/>
    <x v="0"/>
    <x v="18"/>
    <n v="5"/>
    <x v="10"/>
    <x v="2"/>
  </r>
  <r>
    <s v="TX501848"/>
    <x v="2"/>
    <x v="9"/>
    <n v="59.9"/>
    <n v="299.5"/>
    <x v="67"/>
    <d v="2025-03-11T00:00:00"/>
    <s v="F"/>
    <x v="2"/>
    <x v="0"/>
    <x v="0"/>
    <x v="19"/>
    <n v="2"/>
    <x v="10"/>
    <x v="2"/>
  </r>
  <r>
    <s v="TX501849"/>
    <x v="4"/>
    <x v="1"/>
    <n v="53.2"/>
    <n v="106.4"/>
    <x v="67"/>
    <d v="2025-03-10T00:00:00"/>
    <s v="F"/>
    <x v="1"/>
    <x v="3"/>
    <x v="0"/>
    <x v="20"/>
    <n v="1"/>
    <x v="10"/>
    <x v="2"/>
  </r>
  <r>
    <s v="TX501850"/>
    <x v="2"/>
    <x v="1"/>
    <n v="60"/>
    <n v="120"/>
    <x v="67"/>
    <d v="2025-03-15T00:00:00"/>
    <s v="M"/>
    <x v="1"/>
    <x v="2"/>
    <x v="0"/>
    <x v="20"/>
    <n v="6"/>
    <x v="10"/>
    <x v="1"/>
  </r>
  <r>
    <s v="TX501851"/>
    <x v="8"/>
    <x v="2"/>
    <n v="29.3"/>
    <n v="87.9"/>
    <x v="67"/>
    <d v="2025-03-10T00:00:00"/>
    <s v="F"/>
    <x v="4"/>
    <x v="0"/>
    <x v="0"/>
    <x v="13"/>
    <n v="1"/>
    <x v="10"/>
    <x v="2"/>
  </r>
  <r>
    <s v="TX501852"/>
    <x v="12"/>
    <x v="1"/>
    <n v="55.4"/>
    <n v="110.8"/>
    <x v="67"/>
    <d v="2025-03-10T00:00:00"/>
    <s v="F"/>
    <x v="0"/>
    <x v="2"/>
    <x v="0"/>
    <x v="21"/>
    <n v="1"/>
    <x v="10"/>
    <x v="2"/>
  </r>
  <r>
    <s v="TX501853"/>
    <x v="0"/>
    <x v="9"/>
    <n v="20.100000000000001"/>
    <n v="100.5"/>
    <x v="67"/>
    <d v="2025-03-11T00:00:00"/>
    <s v="F"/>
    <x v="1"/>
    <x v="2"/>
    <x v="0"/>
    <x v="21"/>
    <n v="2"/>
    <x v="10"/>
    <x v="2"/>
  </r>
  <r>
    <s v="TX501854"/>
    <x v="14"/>
    <x v="9"/>
    <n v="24"/>
    <n v="120"/>
    <x v="67"/>
    <d v="2025-03-12T00:00:00"/>
    <s v="M"/>
    <x v="2"/>
    <x v="0"/>
    <x v="0"/>
    <x v="1"/>
    <n v="3"/>
    <x v="10"/>
    <x v="1"/>
  </r>
  <r>
    <s v="TX501855"/>
    <x v="8"/>
    <x v="1"/>
    <n v="30.6"/>
    <n v="61.2"/>
    <x v="68"/>
    <d v="2025-03-12T00:00:00"/>
    <s v="F"/>
    <x v="0"/>
    <x v="0"/>
    <x v="0"/>
    <x v="1"/>
    <n v="2"/>
    <x v="10"/>
    <x v="2"/>
  </r>
  <r>
    <s v="TX501856"/>
    <x v="10"/>
    <x v="9"/>
    <n v="33"/>
    <n v="165"/>
    <x v="68"/>
    <d v="2025-03-11T00:00:00"/>
    <s v="M"/>
    <x v="1"/>
    <x v="1"/>
    <x v="0"/>
    <x v="27"/>
    <n v="1"/>
    <x v="10"/>
    <x v="1"/>
  </r>
  <r>
    <s v="TX501857"/>
    <x v="17"/>
    <x v="11"/>
    <n v="42.1"/>
    <n v="378.90000000000003"/>
    <x v="68"/>
    <d v="2025-03-16T00:00:00"/>
    <s v="F"/>
    <x v="2"/>
    <x v="0"/>
    <x v="0"/>
    <x v="44"/>
    <n v="6"/>
    <x v="10"/>
    <x v="2"/>
  </r>
  <r>
    <s v="TX501858"/>
    <x v="6"/>
    <x v="3"/>
    <n v="77.7"/>
    <n v="543.9"/>
    <x v="68"/>
    <d v="2025-03-15T00:00:00"/>
    <s v="F"/>
    <x v="1"/>
    <x v="2"/>
    <x v="0"/>
    <x v="50"/>
    <n v="5"/>
    <x v="10"/>
    <x v="2"/>
  </r>
  <r>
    <s v="TX501859"/>
    <x v="17"/>
    <x v="13"/>
    <n v="22.7"/>
    <n v="136.19999999999999"/>
    <x v="68"/>
    <d v="2025-03-13T00:00:00"/>
    <s v="F"/>
    <x v="2"/>
    <x v="0"/>
    <x v="0"/>
    <x v="3"/>
    <n v="3"/>
    <x v="10"/>
    <x v="2"/>
  </r>
  <r>
    <s v="TX501860"/>
    <x v="2"/>
    <x v="1"/>
    <n v="133"/>
    <n v="266"/>
    <x v="68"/>
    <d v="2025-03-10T00:00:00"/>
    <s v="M"/>
    <x v="2"/>
    <x v="2"/>
    <x v="0"/>
    <x v="3"/>
    <n v="0"/>
    <x v="10"/>
    <x v="1"/>
  </r>
  <r>
    <s v="TX501861"/>
    <x v="0"/>
    <x v="1"/>
    <n v="23.3"/>
    <n v="46.6"/>
    <x v="68"/>
    <d v="2025-03-11T00:00:00"/>
    <s v="M"/>
    <x v="1"/>
    <x v="2"/>
    <x v="0"/>
    <x v="3"/>
    <n v="1"/>
    <x v="10"/>
    <x v="1"/>
  </r>
  <r>
    <s v="TX501862"/>
    <x v="8"/>
    <x v="2"/>
    <n v="20.7"/>
    <n v="62.099999999999994"/>
    <x v="68"/>
    <d v="2025-03-12T00:00:00"/>
    <s v="O"/>
    <x v="0"/>
    <x v="2"/>
    <x v="0"/>
    <x v="3"/>
    <n v="2"/>
    <x v="10"/>
    <x v="3"/>
  </r>
  <r>
    <s v="TX501863"/>
    <x v="12"/>
    <x v="1"/>
    <n v="47"/>
    <n v="94"/>
    <x v="68"/>
    <d v="2025-03-11T00:00:00"/>
    <s v="M"/>
    <x v="1"/>
    <x v="2"/>
    <x v="0"/>
    <x v="3"/>
    <n v="1"/>
    <x v="10"/>
    <x v="1"/>
  </r>
  <r>
    <s v="TX501864"/>
    <x v="12"/>
    <x v="2"/>
    <n v="38.200000000000003"/>
    <n v="114.60000000000001"/>
    <x v="68"/>
    <d v="2025-03-12T00:00:00"/>
    <s v="F"/>
    <x v="2"/>
    <x v="4"/>
    <x v="0"/>
    <x v="3"/>
    <n v="2"/>
    <x v="10"/>
    <x v="2"/>
  </r>
  <r>
    <s v="TX501865"/>
    <x v="9"/>
    <x v="0"/>
    <n v="39.1"/>
    <n v="39.1"/>
    <x v="68"/>
    <d v="2025-03-12T00:00:00"/>
    <s v="F"/>
    <x v="0"/>
    <x v="0"/>
    <x v="0"/>
    <x v="3"/>
    <n v="2"/>
    <x v="10"/>
    <x v="2"/>
  </r>
  <r>
    <s v="TX501866"/>
    <x v="7"/>
    <x v="30"/>
    <n v="55.6"/>
    <n v="1390"/>
    <x v="68"/>
    <d v="2025-03-12T00:00:00"/>
    <s v="M"/>
    <x v="0"/>
    <x v="2"/>
    <x v="0"/>
    <x v="3"/>
    <n v="2"/>
    <x v="10"/>
    <x v="1"/>
  </r>
  <r>
    <s v="TX501867"/>
    <x v="15"/>
    <x v="0"/>
    <n v="43.1"/>
    <n v="43.1"/>
    <x v="68"/>
    <d v="2025-03-10T00:00:00"/>
    <s v="O"/>
    <x v="1"/>
    <x v="2"/>
    <x v="0"/>
    <x v="3"/>
    <n v="0"/>
    <x v="10"/>
    <x v="3"/>
  </r>
  <r>
    <s v="TX501868"/>
    <x v="6"/>
    <x v="12"/>
    <n v="48.1"/>
    <n v="192.4"/>
    <x v="68"/>
    <d v="2025-03-11T00:00:00"/>
    <s v="F"/>
    <x v="4"/>
    <x v="2"/>
    <x v="0"/>
    <x v="3"/>
    <n v="1"/>
    <x v="10"/>
    <x v="2"/>
  </r>
  <r>
    <s v="TX501869"/>
    <x v="4"/>
    <x v="0"/>
    <n v="42"/>
    <n v="42"/>
    <x v="68"/>
    <d v="2025-03-11T00:00:00"/>
    <s v="O"/>
    <x v="0"/>
    <x v="0"/>
    <x v="0"/>
    <x v="3"/>
    <n v="1"/>
    <x v="10"/>
    <x v="3"/>
  </r>
  <r>
    <s v="TX501870"/>
    <x v="8"/>
    <x v="9"/>
    <n v="18.3"/>
    <n v="91.5"/>
    <x v="68"/>
    <d v="2025-03-10T00:00:00"/>
    <s v="F"/>
    <x v="2"/>
    <x v="0"/>
    <x v="0"/>
    <x v="3"/>
    <n v="0"/>
    <x v="10"/>
    <x v="2"/>
  </r>
  <r>
    <s v="TX501871"/>
    <x v="10"/>
    <x v="12"/>
    <n v="45.3"/>
    <n v="181.2"/>
    <x v="68"/>
    <d v="2025-03-13T00:00:00"/>
    <s v="F"/>
    <x v="0"/>
    <x v="2"/>
    <x v="0"/>
    <x v="3"/>
    <n v="3"/>
    <x v="10"/>
    <x v="2"/>
  </r>
  <r>
    <s v="TX501872"/>
    <x v="0"/>
    <x v="1"/>
    <n v="27.6"/>
    <n v="55.2"/>
    <x v="68"/>
    <d v="2025-03-12T00:00:00"/>
    <s v="M"/>
    <x v="0"/>
    <x v="2"/>
    <x v="0"/>
    <x v="37"/>
    <n v="2"/>
    <x v="10"/>
    <x v="1"/>
  </r>
  <r>
    <s v="TX501873"/>
    <x v="4"/>
    <x v="9"/>
    <n v="26.9"/>
    <n v="134.5"/>
    <x v="68"/>
    <d v="2025-03-11T00:00:00"/>
    <s v="F"/>
    <x v="2"/>
    <x v="0"/>
    <x v="0"/>
    <x v="25"/>
    <n v="1"/>
    <x v="10"/>
    <x v="2"/>
  </r>
  <r>
    <s v="TX501874"/>
    <x v="2"/>
    <x v="11"/>
    <n v="82.4"/>
    <n v="741.6"/>
    <x v="68"/>
    <d v="2025-03-12T00:00:00"/>
    <s v="O"/>
    <x v="2"/>
    <x v="0"/>
    <x v="0"/>
    <x v="5"/>
    <n v="2"/>
    <x v="10"/>
    <x v="3"/>
  </r>
  <r>
    <s v="TX501875"/>
    <x v="6"/>
    <x v="0"/>
    <n v="103.7"/>
    <n v="103.7"/>
    <x v="68"/>
    <d v="2025-03-12T00:00:00"/>
    <s v="F"/>
    <x v="1"/>
    <x v="0"/>
    <x v="0"/>
    <x v="5"/>
    <n v="2"/>
    <x v="10"/>
    <x v="2"/>
  </r>
  <r>
    <s v="TX501876"/>
    <x v="2"/>
    <x v="1"/>
    <n v="58.8"/>
    <n v="117.6"/>
    <x v="68"/>
    <d v="2025-03-15T00:00:00"/>
    <s v="F"/>
    <x v="1"/>
    <x v="2"/>
    <x v="0"/>
    <x v="6"/>
    <n v="5"/>
    <x v="10"/>
    <x v="2"/>
  </r>
  <r>
    <s v="TX501877"/>
    <x v="13"/>
    <x v="0"/>
    <n v="31.5"/>
    <n v="31.5"/>
    <x v="68"/>
    <d v="2025-03-11T00:00:00"/>
    <s v="F"/>
    <x v="1"/>
    <x v="1"/>
    <x v="0"/>
    <x v="6"/>
    <n v="1"/>
    <x v="10"/>
    <x v="2"/>
  </r>
  <r>
    <s v="TX501878"/>
    <x v="7"/>
    <x v="9"/>
    <n v="36.799999999999997"/>
    <n v="184"/>
    <x v="68"/>
    <d v="2025-03-12T00:00:00"/>
    <s v="F"/>
    <x v="0"/>
    <x v="0"/>
    <x v="0"/>
    <x v="8"/>
    <n v="2"/>
    <x v="10"/>
    <x v="2"/>
  </r>
  <r>
    <s v="TX501879"/>
    <x v="3"/>
    <x v="0"/>
    <n v="84.4"/>
    <n v="84.4"/>
    <x v="68"/>
    <d v="2025-03-11T00:00:00"/>
    <s v="F"/>
    <x v="0"/>
    <x v="0"/>
    <x v="0"/>
    <x v="8"/>
    <n v="1"/>
    <x v="10"/>
    <x v="2"/>
  </r>
  <r>
    <s v="TX501880"/>
    <x v="14"/>
    <x v="0"/>
    <n v="44.7"/>
    <n v="44.7"/>
    <x v="68"/>
    <d v="2025-03-11T00:00:00"/>
    <s v="M"/>
    <x v="0"/>
    <x v="1"/>
    <x v="0"/>
    <x v="8"/>
    <n v="1"/>
    <x v="10"/>
    <x v="1"/>
  </r>
  <r>
    <s v="TX501881"/>
    <x v="9"/>
    <x v="8"/>
    <n v="39.4"/>
    <n v="315.2"/>
    <x v="68"/>
    <d v="2025-03-11T00:00:00"/>
    <s v="F"/>
    <x v="1"/>
    <x v="2"/>
    <x v="0"/>
    <x v="8"/>
    <n v="1"/>
    <x v="10"/>
    <x v="2"/>
  </r>
  <r>
    <s v="TX501882"/>
    <x v="11"/>
    <x v="12"/>
    <n v="34.9"/>
    <n v="139.6"/>
    <x v="68"/>
    <d v="2025-03-12T00:00:00"/>
    <s v="F"/>
    <x v="0"/>
    <x v="2"/>
    <x v="0"/>
    <x v="8"/>
    <n v="2"/>
    <x v="10"/>
    <x v="2"/>
  </r>
  <r>
    <s v="TX501883"/>
    <x v="1"/>
    <x v="2"/>
    <n v="62.3"/>
    <n v="186.89999999999998"/>
    <x v="68"/>
    <d v="2025-03-12T00:00:00"/>
    <s v="M"/>
    <x v="4"/>
    <x v="2"/>
    <x v="0"/>
    <x v="8"/>
    <n v="2"/>
    <x v="10"/>
    <x v="1"/>
  </r>
  <r>
    <s v="TX501884"/>
    <x v="8"/>
    <x v="12"/>
    <n v="21.1"/>
    <n v="84.4"/>
    <x v="68"/>
    <d v="2025-03-13T00:00:00"/>
    <s v="M"/>
    <x v="3"/>
    <x v="0"/>
    <x v="0"/>
    <x v="8"/>
    <n v="3"/>
    <x v="10"/>
    <x v="1"/>
  </r>
  <r>
    <s v="TX501885"/>
    <x v="8"/>
    <x v="2"/>
    <n v="33.200000000000003"/>
    <n v="99.600000000000009"/>
    <x v="68"/>
    <d v="2025-03-24T00:00:00"/>
    <s v=""/>
    <x v="0"/>
    <x v="4"/>
    <x v="0"/>
    <x v="8"/>
    <n v="14"/>
    <x v="10"/>
    <x v="0"/>
  </r>
  <r>
    <s v="TX501886"/>
    <x v="1"/>
    <x v="12"/>
    <n v="74.5"/>
    <n v="298"/>
    <x v="68"/>
    <d v="2025-03-11T00:00:00"/>
    <s v="M"/>
    <x v="4"/>
    <x v="0"/>
    <x v="0"/>
    <x v="8"/>
    <n v="1"/>
    <x v="10"/>
    <x v="1"/>
  </r>
  <r>
    <s v="TX501887"/>
    <x v="10"/>
    <x v="4"/>
    <n v="68.599999999999994"/>
    <n v="823.19999999999993"/>
    <x v="68"/>
    <d v="2025-03-13T00:00:00"/>
    <s v="F"/>
    <x v="0"/>
    <x v="2"/>
    <x v="0"/>
    <x v="8"/>
    <n v="3"/>
    <x v="10"/>
    <x v="2"/>
  </r>
  <r>
    <s v="TX501888"/>
    <x v="5"/>
    <x v="21"/>
    <n v="36.4"/>
    <n v="509.59999999999997"/>
    <x v="68"/>
    <d v="2025-03-12T00:00:00"/>
    <s v="F"/>
    <x v="0"/>
    <x v="1"/>
    <x v="0"/>
    <x v="9"/>
    <n v="2"/>
    <x v="10"/>
    <x v="2"/>
  </r>
  <r>
    <s v="TX501889"/>
    <x v="16"/>
    <x v="9"/>
    <n v="67.599999999999994"/>
    <n v="338"/>
    <x v="69"/>
    <d v="2025-03-14T00:00:00"/>
    <s v="F"/>
    <x v="4"/>
    <x v="1"/>
    <x v="0"/>
    <x v="9"/>
    <n v="3"/>
    <x v="10"/>
    <x v="2"/>
  </r>
  <r>
    <s v="TX501890"/>
    <x v="15"/>
    <x v="0"/>
    <n v="46.3"/>
    <n v="46.3"/>
    <x v="69"/>
    <d v="2025-03-12T00:00:00"/>
    <s v="M"/>
    <x v="2"/>
    <x v="0"/>
    <x v="0"/>
    <x v="9"/>
    <n v="1"/>
    <x v="10"/>
    <x v="1"/>
  </r>
  <r>
    <s v="TX501891"/>
    <x v="1"/>
    <x v="2"/>
    <n v="124.2"/>
    <n v="372.6"/>
    <x v="69"/>
    <d v="2025-03-13T00:00:00"/>
    <s v="F"/>
    <x v="1"/>
    <x v="2"/>
    <x v="0"/>
    <x v="11"/>
    <n v="2"/>
    <x v="10"/>
    <x v="2"/>
  </r>
  <r>
    <s v="TX501892"/>
    <x v="10"/>
    <x v="1"/>
    <n v="37"/>
    <n v="74"/>
    <x v="69"/>
    <d v="2025-03-17T00:00:00"/>
    <s v="M"/>
    <x v="0"/>
    <x v="0"/>
    <x v="0"/>
    <x v="11"/>
    <n v="6"/>
    <x v="10"/>
    <x v="1"/>
  </r>
  <r>
    <s v="TX501893"/>
    <x v="5"/>
    <x v="0"/>
    <n v="41.8"/>
    <n v="41.8"/>
    <x v="69"/>
    <d v="2025-03-12T00:00:00"/>
    <s v="M"/>
    <x v="2"/>
    <x v="0"/>
    <x v="0"/>
    <x v="31"/>
    <n v="1"/>
    <x v="10"/>
    <x v="1"/>
  </r>
  <r>
    <s v="TX501894"/>
    <x v="9"/>
    <x v="1"/>
    <n v="57.2"/>
    <n v="114.4"/>
    <x v="69"/>
    <d v="2025-03-13T00:00:00"/>
    <s v="M"/>
    <x v="2"/>
    <x v="1"/>
    <x v="0"/>
    <x v="20"/>
    <n v="2"/>
    <x v="10"/>
    <x v="1"/>
  </r>
  <r>
    <s v="TX501895"/>
    <x v="6"/>
    <x v="1"/>
    <n v="47.1"/>
    <n v="94.2"/>
    <x v="69"/>
    <d v="2025-03-13T00:00:00"/>
    <s v="F"/>
    <x v="0"/>
    <x v="4"/>
    <x v="0"/>
    <x v="20"/>
    <n v="2"/>
    <x v="10"/>
    <x v="2"/>
  </r>
  <r>
    <s v="TX501896"/>
    <x v="5"/>
    <x v="2"/>
    <n v="86.4"/>
    <n v="259.20000000000005"/>
    <x v="69"/>
    <d v="2025-03-12T00:00:00"/>
    <s v="M"/>
    <x v="2"/>
    <x v="1"/>
    <x v="0"/>
    <x v="52"/>
    <n v="1"/>
    <x v="10"/>
    <x v="1"/>
  </r>
  <r>
    <s v="TX501897"/>
    <x v="6"/>
    <x v="9"/>
    <n v="105"/>
    <n v="525"/>
    <x v="69"/>
    <d v="2025-03-14T00:00:00"/>
    <s v="M"/>
    <x v="0"/>
    <x v="0"/>
    <x v="0"/>
    <x v="13"/>
    <n v="3"/>
    <x v="10"/>
    <x v="1"/>
  </r>
  <r>
    <s v="TX501898"/>
    <x v="18"/>
    <x v="0"/>
    <n v="33"/>
    <n v="33"/>
    <x v="69"/>
    <d v="2025-03-14T00:00:00"/>
    <s v="M"/>
    <x v="4"/>
    <x v="0"/>
    <x v="0"/>
    <x v="21"/>
    <n v="3"/>
    <x v="10"/>
    <x v="1"/>
  </r>
  <r>
    <s v="TX501899"/>
    <x v="6"/>
    <x v="9"/>
    <n v="106.6"/>
    <n v="533"/>
    <x v="69"/>
    <d v="2025-03-24T00:00:00"/>
    <s v="F"/>
    <x v="2"/>
    <x v="0"/>
    <x v="0"/>
    <x v="1"/>
    <n v="13"/>
    <x v="10"/>
    <x v="2"/>
  </r>
  <r>
    <s v="TX501900"/>
    <x v="10"/>
    <x v="46"/>
    <n v="26.8"/>
    <n v="857.6"/>
    <x v="69"/>
    <d v="2025-03-12T00:00:00"/>
    <s v="F"/>
    <x v="2"/>
    <x v="0"/>
    <x v="0"/>
    <x v="1"/>
    <n v="1"/>
    <x v="10"/>
    <x v="2"/>
  </r>
  <r>
    <s v="TX501901"/>
    <x v="17"/>
    <x v="9"/>
    <n v="25.8"/>
    <n v="129"/>
    <x v="69"/>
    <d v="2025-03-11T00:00:00"/>
    <s v="F"/>
    <x v="1"/>
    <x v="2"/>
    <x v="0"/>
    <x v="3"/>
    <n v="0"/>
    <x v="10"/>
    <x v="2"/>
  </r>
  <r>
    <s v="TX501902"/>
    <x v="2"/>
    <x v="2"/>
    <n v="217"/>
    <n v="651"/>
    <x v="69"/>
    <d v="2025-03-12T00:00:00"/>
    <s v="F"/>
    <x v="1"/>
    <x v="1"/>
    <x v="0"/>
    <x v="3"/>
    <n v="1"/>
    <x v="10"/>
    <x v="2"/>
  </r>
  <r>
    <s v="TX501903"/>
    <x v="2"/>
    <x v="1"/>
    <n v="97.3"/>
    <n v="194.6"/>
    <x v="69"/>
    <d v="2025-03-12T00:00:00"/>
    <s v="M"/>
    <x v="2"/>
    <x v="4"/>
    <x v="0"/>
    <x v="3"/>
    <n v="1"/>
    <x v="10"/>
    <x v="1"/>
  </r>
  <r>
    <s v="TX501904"/>
    <x v="1"/>
    <x v="0"/>
    <n v="49.8"/>
    <n v="49.8"/>
    <x v="69"/>
    <d v="2025-03-12T00:00:00"/>
    <s v="F"/>
    <x v="0"/>
    <x v="0"/>
    <x v="0"/>
    <x v="3"/>
    <n v="1"/>
    <x v="10"/>
    <x v="2"/>
  </r>
  <r>
    <s v="TX501905"/>
    <x v="12"/>
    <x v="9"/>
    <n v="32.6"/>
    <n v="163"/>
    <x v="69"/>
    <d v="2025-03-12T00:00:00"/>
    <s v="F"/>
    <x v="0"/>
    <x v="0"/>
    <x v="0"/>
    <x v="3"/>
    <n v="1"/>
    <x v="10"/>
    <x v="2"/>
  </r>
  <r>
    <s v="TX501906"/>
    <x v="9"/>
    <x v="1"/>
    <n v="40.1"/>
    <n v="80.2"/>
    <x v="69"/>
    <d v="2025-03-14T00:00:00"/>
    <s v="M"/>
    <x v="1"/>
    <x v="2"/>
    <x v="0"/>
    <x v="3"/>
    <n v="3"/>
    <x v="10"/>
    <x v="1"/>
  </r>
  <r>
    <s v="TX501907"/>
    <x v="10"/>
    <x v="1"/>
    <n v="49.4"/>
    <n v="98.8"/>
    <x v="69"/>
    <d v="2025-03-13T00:00:00"/>
    <s v="M"/>
    <x v="1"/>
    <x v="0"/>
    <x v="0"/>
    <x v="3"/>
    <n v="2"/>
    <x v="10"/>
    <x v="1"/>
  </r>
  <r>
    <s v="TX501908"/>
    <x v="2"/>
    <x v="0"/>
    <n v="67.3"/>
    <n v="67.3"/>
    <x v="69"/>
    <d v="2025-03-12T00:00:00"/>
    <s v="F"/>
    <x v="0"/>
    <x v="2"/>
    <x v="0"/>
    <x v="3"/>
    <n v="1"/>
    <x v="10"/>
    <x v="2"/>
  </r>
  <r>
    <s v="TX501909"/>
    <x v="18"/>
    <x v="12"/>
    <n v="44.5"/>
    <n v="178"/>
    <x v="69"/>
    <d v="2025-03-14T00:00:00"/>
    <s v=""/>
    <x v="1"/>
    <x v="0"/>
    <x v="0"/>
    <x v="3"/>
    <n v="3"/>
    <x v="10"/>
    <x v="0"/>
  </r>
  <r>
    <s v="TX501910"/>
    <x v="6"/>
    <x v="5"/>
    <n v="111.1"/>
    <n v="1222.0999999999999"/>
    <x v="69"/>
    <d v="2025-03-12T00:00:00"/>
    <s v="F"/>
    <x v="4"/>
    <x v="0"/>
    <x v="0"/>
    <x v="3"/>
    <n v="1"/>
    <x v="10"/>
    <x v="2"/>
  </r>
  <r>
    <s v="TX501911"/>
    <x v="8"/>
    <x v="2"/>
    <n v="19.7"/>
    <n v="59.099999999999994"/>
    <x v="69"/>
    <d v="2025-03-12T00:00:00"/>
    <s v="F"/>
    <x v="4"/>
    <x v="4"/>
    <x v="0"/>
    <x v="3"/>
    <n v="1"/>
    <x v="10"/>
    <x v="2"/>
  </r>
  <r>
    <s v="TX501912"/>
    <x v="1"/>
    <x v="0"/>
    <n v="40.299999999999997"/>
    <n v="40.299999999999997"/>
    <x v="69"/>
    <d v="2025-03-12T00:00:00"/>
    <s v="O"/>
    <x v="1"/>
    <x v="0"/>
    <x v="0"/>
    <x v="3"/>
    <n v="1"/>
    <x v="10"/>
    <x v="3"/>
  </r>
  <r>
    <s v="TX501913"/>
    <x v="6"/>
    <x v="1"/>
    <n v="108.8"/>
    <n v="217.6"/>
    <x v="69"/>
    <d v="2025-03-16T00:00:00"/>
    <s v="M"/>
    <x v="0"/>
    <x v="2"/>
    <x v="0"/>
    <x v="6"/>
    <n v="5"/>
    <x v="10"/>
    <x v="1"/>
  </r>
  <r>
    <s v="TX501914"/>
    <x v="8"/>
    <x v="2"/>
    <n v="48.2"/>
    <n v="144.60000000000002"/>
    <x v="69"/>
    <d v="2025-03-16T00:00:00"/>
    <s v="F"/>
    <x v="4"/>
    <x v="0"/>
    <x v="0"/>
    <x v="7"/>
    <n v="5"/>
    <x v="10"/>
    <x v="2"/>
  </r>
  <r>
    <s v="TX501915"/>
    <x v="2"/>
    <x v="2"/>
    <n v="104.7"/>
    <n v="314.10000000000002"/>
    <x v="69"/>
    <d v="2025-03-13T00:00:00"/>
    <s v="F"/>
    <x v="0"/>
    <x v="1"/>
    <x v="0"/>
    <x v="7"/>
    <n v="2"/>
    <x v="10"/>
    <x v="2"/>
  </r>
  <r>
    <s v="TX501916"/>
    <x v="1"/>
    <x v="1"/>
    <n v="80.599999999999994"/>
    <n v="161.19999999999999"/>
    <x v="69"/>
    <d v="2025-03-11T00:00:00"/>
    <s v="F"/>
    <x v="1"/>
    <x v="0"/>
    <x v="0"/>
    <x v="8"/>
    <n v="0"/>
    <x v="10"/>
    <x v="2"/>
  </r>
  <r>
    <s v="TX501917"/>
    <x v="6"/>
    <x v="0"/>
    <n v="65.5"/>
    <n v="65.5"/>
    <x v="69"/>
    <d v="2025-03-13T00:00:00"/>
    <s v="O"/>
    <x v="1"/>
    <x v="0"/>
    <x v="0"/>
    <x v="8"/>
    <n v="2"/>
    <x v="10"/>
    <x v="3"/>
  </r>
  <r>
    <s v="TX501918"/>
    <x v="9"/>
    <x v="2"/>
    <n v="61.4"/>
    <n v="184.2"/>
    <x v="69"/>
    <d v="2025-03-13T00:00:00"/>
    <s v="F"/>
    <x v="4"/>
    <x v="2"/>
    <x v="0"/>
    <x v="8"/>
    <n v="2"/>
    <x v="10"/>
    <x v="2"/>
  </r>
  <r>
    <s v="TX501919"/>
    <x v="0"/>
    <x v="0"/>
    <n v="12.5"/>
    <n v="12.5"/>
    <x v="70"/>
    <d v="2025-03-15T00:00:00"/>
    <s v="F"/>
    <x v="0"/>
    <x v="1"/>
    <x v="0"/>
    <x v="8"/>
    <n v="3"/>
    <x v="10"/>
    <x v="2"/>
  </r>
  <r>
    <s v="TX501920"/>
    <x v="4"/>
    <x v="12"/>
    <n v="35.1"/>
    <n v="140.4"/>
    <x v="70"/>
    <d v="2025-03-13T00:00:00"/>
    <s v="M"/>
    <x v="2"/>
    <x v="1"/>
    <x v="0"/>
    <x v="17"/>
    <n v="1"/>
    <x v="10"/>
    <x v="1"/>
  </r>
  <r>
    <s v="TX501921"/>
    <x v="5"/>
    <x v="1"/>
    <n v="55.7"/>
    <n v="111.4"/>
    <x v="70"/>
    <d v="2025-03-13T00:00:00"/>
    <s v="M"/>
    <x v="0"/>
    <x v="1"/>
    <x v="0"/>
    <x v="26"/>
    <n v="1"/>
    <x v="10"/>
    <x v="1"/>
  </r>
  <r>
    <s v="TX501922"/>
    <x v="7"/>
    <x v="1"/>
    <n v="57.7"/>
    <n v="115.4"/>
    <x v="70"/>
    <d v="2025-03-14T00:00:00"/>
    <s v="M"/>
    <x v="4"/>
    <x v="1"/>
    <x v="0"/>
    <x v="9"/>
    <n v="2"/>
    <x v="10"/>
    <x v="1"/>
  </r>
  <r>
    <s v="TX501923"/>
    <x v="2"/>
    <x v="13"/>
    <n v="85.7"/>
    <n v="514.20000000000005"/>
    <x v="70"/>
    <d v="2025-03-13T00:00:00"/>
    <s v="M"/>
    <x v="3"/>
    <x v="2"/>
    <x v="0"/>
    <x v="9"/>
    <n v="1"/>
    <x v="10"/>
    <x v="1"/>
  </r>
  <r>
    <s v="TX501924"/>
    <x v="2"/>
    <x v="2"/>
    <n v="86.9"/>
    <n v="260.70000000000005"/>
    <x v="70"/>
    <d v="2025-03-14T00:00:00"/>
    <s v="F"/>
    <x v="1"/>
    <x v="0"/>
    <x v="0"/>
    <x v="11"/>
    <n v="2"/>
    <x v="10"/>
    <x v="2"/>
  </r>
  <r>
    <s v="TX501925"/>
    <x v="18"/>
    <x v="1"/>
    <n v="46.4"/>
    <n v="92.8"/>
    <x v="70"/>
    <d v="2025-03-15T00:00:00"/>
    <s v="F"/>
    <x v="4"/>
    <x v="0"/>
    <x v="0"/>
    <x v="11"/>
    <n v="3"/>
    <x v="10"/>
    <x v="2"/>
  </r>
  <r>
    <s v="TX501926"/>
    <x v="5"/>
    <x v="2"/>
    <n v="25.4"/>
    <n v="76.199999999999989"/>
    <x v="70"/>
    <d v="2025-03-12T00:00:00"/>
    <s v="F"/>
    <x v="2"/>
    <x v="2"/>
    <x v="0"/>
    <x v="18"/>
    <n v="0"/>
    <x v="10"/>
    <x v="2"/>
  </r>
  <r>
    <s v="TX501927"/>
    <x v="10"/>
    <x v="2"/>
    <n v="47.8"/>
    <n v="143.39999999999998"/>
    <x v="70"/>
    <d v="2025-03-12T00:00:00"/>
    <s v=""/>
    <x v="2"/>
    <x v="2"/>
    <x v="0"/>
    <x v="19"/>
    <n v="0"/>
    <x v="10"/>
    <x v="0"/>
  </r>
  <r>
    <s v="TX501928"/>
    <x v="8"/>
    <x v="10"/>
    <n v="18.399999999999999"/>
    <n v="349.59999999999997"/>
    <x v="70"/>
    <d v="2025-03-14T00:00:00"/>
    <s v="O"/>
    <x v="2"/>
    <x v="0"/>
    <x v="0"/>
    <x v="20"/>
    <n v="2"/>
    <x v="10"/>
    <x v="3"/>
  </r>
  <r>
    <s v="TX501929"/>
    <x v="12"/>
    <x v="2"/>
    <n v="65.5"/>
    <n v="196.5"/>
    <x v="70"/>
    <d v="2025-03-20T00:00:00"/>
    <s v="F"/>
    <x v="0"/>
    <x v="0"/>
    <x v="0"/>
    <x v="21"/>
    <n v="8"/>
    <x v="10"/>
    <x v="2"/>
  </r>
  <r>
    <s v="TX501930"/>
    <x v="10"/>
    <x v="1"/>
    <n v="50.6"/>
    <n v="101.2"/>
    <x v="70"/>
    <d v="2025-03-15T00:00:00"/>
    <s v="M"/>
    <x v="2"/>
    <x v="4"/>
    <x v="0"/>
    <x v="21"/>
    <n v="3"/>
    <x v="10"/>
    <x v="1"/>
  </r>
  <r>
    <s v="TX501931"/>
    <x v="3"/>
    <x v="9"/>
    <n v="69"/>
    <n v="345"/>
    <x v="70"/>
    <d v="2025-03-16T00:00:00"/>
    <s v="M"/>
    <x v="3"/>
    <x v="0"/>
    <x v="0"/>
    <x v="21"/>
    <n v="4"/>
    <x v="10"/>
    <x v="1"/>
  </r>
  <r>
    <s v="TX501932"/>
    <x v="9"/>
    <x v="8"/>
    <n v="51.1"/>
    <n v="408.8"/>
    <x v="70"/>
    <d v="2025-03-14T00:00:00"/>
    <s v="F"/>
    <x v="0"/>
    <x v="0"/>
    <x v="0"/>
    <x v="1"/>
    <n v="2"/>
    <x v="10"/>
    <x v="2"/>
  </r>
  <r>
    <s v="TX501933"/>
    <x v="9"/>
    <x v="0"/>
    <n v="36.1"/>
    <n v="36.1"/>
    <x v="70"/>
    <d v="2025-03-13T00:00:00"/>
    <s v="F"/>
    <x v="0"/>
    <x v="2"/>
    <x v="0"/>
    <x v="34"/>
    <n v="1"/>
    <x v="10"/>
    <x v="2"/>
  </r>
  <r>
    <s v="TX501934"/>
    <x v="14"/>
    <x v="0"/>
    <n v="18.7"/>
    <n v="18.7"/>
    <x v="70"/>
    <d v="2025-03-13T00:00:00"/>
    <s v="M"/>
    <x v="0"/>
    <x v="0"/>
    <x v="0"/>
    <x v="3"/>
    <n v="1"/>
    <x v="10"/>
    <x v="1"/>
  </r>
  <r>
    <s v="TX501935"/>
    <x v="17"/>
    <x v="0"/>
    <n v="30.1"/>
    <n v="30.1"/>
    <x v="70"/>
    <d v="2025-03-15T00:00:00"/>
    <s v="F"/>
    <x v="3"/>
    <x v="1"/>
    <x v="0"/>
    <x v="3"/>
    <n v="3"/>
    <x v="10"/>
    <x v="2"/>
  </r>
  <r>
    <s v="TX501936"/>
    <x v="8"/>
    <x v="0"/>
    <n v="16.3"/>
    <n v="16.3"/>
    <x v="70"/>
    <d v="2025-03-13T00:00:00"/>
    <s v="M"/>
    <x v="3"/>
    <x v="0"/>
    <x v="0"/>
    <x v="3"/>
    <n v="1"/>
    <x v="10"/>
    <x v="1"/>
  </r>
  <r>
    <s v="TX501937"/>
    <x v="1"/>
    <x v="2"/>
    <n v="63.8"/>
    <n v="191.39999999999998"/>
    <x v="70"/>
    <d v="2025-03-17T00:00:00"/>
    <s v="F"/>
    <x v="2"/>
    <x v="1"/>
    <x v="0"/>
    <x v="3"/>
    <n v="5"/>
    <x v="10"/>
    <x v="2"/>
  </r>
  <r>
    <s v="TX501938"/>
    <x v="1"/>
    <x v="3"/>
    <n v="73.900000000000006"/>
    <n v="517.30000000000007"/>
    <x v="70"/>
    <d v="2025-03-12T00:00:00"/>
    <s v="F"/>
    <x v="0"/>
    <x v="1"/>
    <x v="0"/>
    <x v="3"/>
    <n v="0"/>
    <x v="10"/>
    <x v="2"/>
  </r>
  <r>
    <s v="TX501939"/>
    <x v="0"/>
    <x v="1"/>
    <n v="20.2"/>
    <n v="40.4"/>
    <x v="70"/>
    <d v="2025-03-13T00:00:00"/>
    <s v="M"/>
    <x v="0"/>
    <x v="1"/>
    <x v="0"/>
    <x v="3"/>
    <n v="1"/>
    <x v="10"/>
    <x v="1"/>
  </r>
  <r>
    <s v="TX501940"/>
    <x v="11"/>
    <x v="5"/>
    <n v="29.5"/>
    <n v="324.5"/>
    <x v="70"/>
    <d v="2025-03-13T00:00:00"/>
    <s v="M"/>
    <x v="0"/>
    <x v="0"/>
    <x v="0"/>
    <x v="3"/>
    <n v="1"/>
    <x v="10"/>
    <x v="1"/>
  </r>
  <r>
    <s v="TX501941"/>
    <x v="15"/>
    <x v="3"/>
    <n v="37.9"/>
    <n v="265.3"/>
    <x v="70"/>
    <d v="2025-03-13T00:00:00"/>
    <s v="M"/>
    <x v="1"/>
    <x v="0"/>
    <x v="0"/>
    <x v="3"/>
    <n v="1"/>
    <x v="10"/>
    <x v="1"/>
  </r>
  <r>
    <s v="TX501942"/>
    <x v="2"/>
    <x v="0"/>
    <n v="56.5"/>
    <n v="56.5"/>
    <x v="70"/>
    <d v="2025-03-13T00:00:00"/>
    <s v="F"/>
    <x v="2"/>
    <x v="1"/>
    <x v="0"/>
    <x v="3"/>
    <n v="1"/>
    <x v="10"/>
    <x v="2"/>
  </r>
  <r>
    <s v="TX501943"/>
    <x v="2"/>
    <x v="1"/>
    <n v="66.900000000000006"/>
    <n v="133.80000000000001"/>
    <x v="70"/>
    <d v="2025-03-18T00:00:00"/>
    <s v="M"/>
    <x v="1"/>
    <x v="4"/>
    <x v="0"/>
    <x v="25"/>
    <n v="6"/>
    <x v="10"/>
    <x v="1"/>
  </r>
  <r>
    <s v="TX501944"/>
    <x v="2"/>
    <x v="9"/>
    <n v="51.9"/>
    <n v="259.5"/>
    <x v="70"/>
    <d v="2025-03-15T00:00:00"/>
    <s v="M"/>
    <x v="1"/>
    <x v="0"/>
    <x v="0"/>
    <x v="7"/>
    <n v="3"/>
    <x v="10"/>
    <x v="1"/>
  </r>
  <r>
    <s v="TX501945"/>
    <x v="2"/>
    <x v="1"/>
    <n v="75.599999999999994"/>
    <n v="151.19999999999999"/>
    <x v="70"/>
    <d v="2025-03-15T00:00:00"/>
    <s v="M"/>
    <x v="1"/>
    <x v="0"/>
    <x v="0"/>
    <x v="8"/>
    <n v="3"/>
    <x v="10"/>
    <x v="1"/>
  </r>
  <r>
    <s v="TX501946"/>
    <x v="12"/>
    <x v="13"/>
    <n v="47.3"/>
    <n v="283.79999999999995"/>
    <x v="70"/>
    <d v="2025-03-23T00:00:00"/>
    <s v="M"/>
    <x v="0"/>
    <x v="0"/>
    <x v="0"/>
    <x v="8"/>
    <n v="11"/>
    <x v="10"/>
    <x v="1"/>
  </r>
  <r>
    <s v="TX501947"/>
    <x v="4"/>
    <x v="0"/>
    <n v="20.6"/>
    <n v="20.6"/>
    <x v="70"/>
    <d v="2025-03-13T00:00:00"/>
    <s v=""/>
    <x v="0"/>
    <x v="1"/>
    <x v="0"/>
    <x v="8"/>
    <n v="1"/>
    <x v="10"/>
    <x v="0"/>
  </r>
  <r>
    <s v="TX501948"/>
    <x v="6"/>
    <x v="2"/>
    <n v="49.7"/>
    <n v="149.10000000000002"/>
    <x v="70"/>
    <d v="2025-03-14T00:00:00"/>
    <s v="M"/>
    <x v="0"/>
    <x v="1"/>
    <x v="0"/>
    <x v="8"/>
    <n v="2"/>
    <x v="10"/>
    <x v="1"/>
  </r>
  <r>
    <s v="TX501949"/>
    <x v="3"/>
    <x v="0"/>
    <n v="37.9"/>
    <n v="37.9"/>
    <x v="70"/>
    <d v="2025-03-14T00:00:00"/>
    <s v="F"/>
    <x v="0"/>
    <x v="0"/>
    <x v="0"/>
    <x v="8"/>
    <n v="2"/>
    <x v="10"/>
    <x v="2"/>
  </r>
  <r>
    <s v="TX501950"/>
    <x v="13"/>
    <x v="20"/>
    <n v="32"/>
    <n v="480"/>
    <x v="70"/>
    <d v="2025-03-14T00:00:00"/>
    <s v="F"/>
    <x v="4"/>
    <x v="0"/>
    <x v="0"/>
    <x v="11"/>
    <n v="2"/>
    <x v="10"/>
    <x v="2"/>
  </r>
  <r>
    <s v="TX501951"/>
    <x v="10"/>
    <x v="16"/>
    <n v="38.5"/>
    <n v="693"/>
    <x v="71"/>
    <d v="2025-03-14T00:00:00"/>
    <s v="M"/>
    <x v="0"/>
    <x v="2"/>
    <x v="0"/>
    <x v="11"/>
    <n v="1"/>
    <x v="10"/>
    <x v="1"/>
  </r>
  <r>
    <s v="TX501952"/>
    <x v="0"/>
    <x v="12"/>
    <n v="11.7"/>
    <n v="46.8"/>
    <x v="71"/>
    <d v="2025-03-15T00:00:00"/>
    <s v="F"/>
    <x v="1"/>
    <x v="0"/>
    <x v="0"/>
    <x v="20"/>
    <n v="2"/>
    <x v="10"/>
    <x v="2"/>
  </r>
  <r>
    <s v="TX501953"/>
    <x v="3"/>
    <x v="13"/>
    <n v="83.8"/>
    <n v="502.79999999999995"/>
    <x v="71"/>
    <d v="2025-03-14T00:00:00"/>
    <s v="M"/>
    <x v="0"/>
    <x v="0"/>
    <x v="0"/>
    <x v="21"/>
    <n v="1"/>
    <x v="10"/>
    <x v="1"/>
  </r>
  <r>
    <s v="TX501954"/>
    <x v="0"/>
    <x v="3"/>
    <n v="14"/>
    <n v="98"/>
    <x v="71"/>
    <d v="2025-03-16T00:00:00"/>
    <s v="M"/>
    <x v="0"/>
    <x v="1"/>
    <x v="0"/>
    <x v="22"/>
    <n v="3"/>
    <x v="10"/>
    <x v="1"/>
  </r>
  <r>
    <s v="TX501955"/>
    <x v="16"/>
    <x v="12"/>
    <n v="77.3"/>
    <n v="309.2"/>
    <x v="71"/>
    <d v="2025-03-15T00:00:00"/>
    <s v="F"/>
    <x v="4"/>
    <x v="2"/>
    <x v="0"/>
    <x v="3"/>
    <n v="2"/>
    <x v="10"/>
    <x v="2"/>
  </r>
  <r>
    <s v="TX501956"/>
    <x v="2"/>
    <x v="1"/>
    <n v="76.900000000000006"/>
    <n v="153.80000000000001"/>
    <x v="71"/>
    <d v="2025-03-17T00:00:00"/>
    <s v="F"/>
    <x v="0"/>
    <x v="1"/>
    <x v="0"/>
    <x v="3"/>
    <n v="4"/>
    <x v="10"/>
    <x v="2"/>
  </r>
  <r>
    <s v="TX501957"/>
    <x v="1"/>
    <x v="0"/>
    <n v="48"/>
    <n v="48"/>
    <x v="71"/>
    <d v="2025-03-15T00:00:00"/>
    <s v="F"/>
    <x v="1"/>
    <x v="2"/>
    <x v="0"/>
    <x v="3"/>
    <n v="2"/>
    <x v="10"/>
    <x v="2"/>
  </r>
  <r>
    <s v="TX501958"/>
    <x v="2"/>
    <x v="0"/>
    <n v="94.5"/>
    <n v="94.5"/>
    <x v="71"/>
    <d v="2025-03-16T00:00:00"/>
    <s v="M"/>
    <x v="1"/>
    <x v="1"/>
    <x v="0"/>
    <x v="3"/>
    <n v="3"/>
    <x v="10"/>
    <x v="1"/>
  </r>
  <r>
    <s v="TX501959"/>
    <x v="10"/>
    <x v="2"/>
    <n v="58.4"/>
    <n v="175.2"/>
    <x v="71"/>
    <d v="2025-03-15T00:00:00"/>
    <s v="F"/>
    <x v="1"/>
    <x v="2"/>
    <x v="0"/>
    <x v="3"/>
    <n v="2"/>
    <x v="10"/>
    <x v="2"/>
  </r>
  <r>
    <s v="TX501960"/>
    <x v="7"/>
    <x v="15"/>
    <n v="42.2"/>
    <n v="548.6"/>
    <x v="71"/>
    <d v="2025-03-13T00:00:00"/>
    <s v="M"/>
    <x v="0"/>
    <x v="0"/>
    <x v="0"/>
    <x v="25"/>
    <n v="0"/>
    <x v="10"/>
    <x v="1"/>
  </r>
  <r>
    <s v="TX501961"/>
    <x v="6"/>
    <x v="1"/>
    <n v="152.19999999999999"/>
    <n v="304.39999999999998"/>
    <x v="71"/>
    <d v="2025-03-14T00:00:00"/>
    <s v="M"/>
    <x v="4"/>
    <x v="1"/>
    <x v="0"/>
    <x v="25"/>
    <n v="1"/>
    <x v="10"/>
    <x v="1"/>
  </r>
  <r>
    <s v="TX501962"/>
    <x v="6"/>
    <x v="25"/>
    <n v="72"/>
    <n v="1728"/>
    <x v="71"/>
    <d v="2025-03-14T00:00:00"/>
    <s v="M"/>
    <x v="0"/>
    <x v="1"/>
    <x v="0"/>
    <x v="6"/>
    <n v="1"/>
    <x v="10"/>
    <x v="1"/>
  </r>
  <r>
    <s v="TX501963"/>
    <x v="1"/>
    <x v="44"/>
    <n v="70.900000000000006"/>
    <n v="1630.7"/>
    <x v="71"/>
    <d v="2025-03-14T00:00:00"/>
    <s v="F"/>
    <x v="2"/>
    <x v="0"/>
    <x v="0"/>
    <x v="8"/>
    <n v="1"/>
    <x v="10"/>
    <x v="2"/>
  </r>
  <r>
    <s v="TX501964"/>
    <x v="2"/>
    <x v="1"/>
    <n v="53.7"/>
    <n v="107.4"/>
    <x v="71"/>
    <d v="2025-03-14T00:00:00"/>
    <s v="M"/>
    <x v="2"/>
    <x v="2"/>
    <x v="0"/>
    <x v="8"/>
    <n v="1"/>
    <x v="10"/>
    <x v="1"/>
  </r>
  <r>
    <s v="TX501965"/>
    <x v="9"/>
    <x v="12"/>
    <n v="42.9"/>
    <n v="171.6"/>
    <x v="71"/>
    <d v="2025-03-14T00:00:00"/>
    <s v="F"/>
    <x v="2"/>
    <x v="4"/>
    <x v="0"/>
    <x v="9"/>
    <n v="1"/>
    <x v="10"/>
    <x v="2"/>
  </r>
  <r>
    <s v="TX501966"/>
    <x v="2"/>
    <x v="3"/>
    <n v="107.5"/>
    <n v="752.5"/>
    <x v="71"/>
    <d v="2025-03-14T00:00:00"/>
    <s v="M"/>
    <x v="1"/>
    <x v="0"/>
    <x v="0"/>
    <x v="11"/>
    <n v="1"/>
    <x v="10"/>
    <x v="1"/>
  </r>
  <r>
    <s v="TX501967"/>
    <x v="17"/>
    <x v="27"/>
    <n v="21.5"/>
    <n v="344"/>
    <x v="71"/>
    <d v="2025-03-14T00:00:00"/>
    <s v="M"/>
    <x v="1"/>
    <x v="1"/>
    <x v="0"/>
    <x v="32"/>
    <n v="1"/>
    <x v="10"/>
    <x v="1"/>
  </r>
  <r>
    <s v="TX501968"/>
    <x v="3"/>
    <x v="9"/>
    <n v="85.3"/>
    <n v="426.5"/>
    <x v="71"/>
    <d v="2025-03-15T00:00:00"/>
    <s v="F"/>
    <x v="3"/>
    <x v="0"/>
    <x v="0"/>
    <x v="18"/>
    <n v="2"/>
    <x v="10"/>
    <x v="2"/>
  </r>
  <r>
    <s v="TX501969"/>
    <x v="7"/>
    <x v="9"/>
    <n v="80.8"/>
    <n v="404"/>
    <x v="71"/>
    <d v="2025-03-21T00:00:00"/>
    <s v="O"/>
    <x v="1"/>
    <x v="1"/>
    <x v="0"/>
    <x v="19"/>
    <n v="8"/>
    <x v="10"/>
    <x v="3"/>
  </r>
  <r>
    <s v="TX501970"/>
    <x v="2"/>
    <x v="2"/>
    <n v="123.1"/>
    <n v="369.29999999999995"/>
    <x v="71"/>
    <d v="2025-03-15T00:00:00"/>
    <s v=""/>
    <x v="2"/>
    <x v="0"/>
    <x v="0"/>
    <x v="21"/>
    <n v="2"/>
    <x v="10"/>
    <x v="0"/>
  </r>
  <r>
    <s v="TX501971"/>
    <x v="8"/>
    <x v="1"/>
    <n v="36.9"/>
    <n v="73.8"/>
    <x v="71"/>
    <d v="2025-03-15T00:00:00"/>
    <s v="F"/>
    <x v="2"/>
    <x v="4"/>
    <x v="0"/>
    <x v="51"/>
    <n v="2"/>
    <x v="10"/>
    <x v="2"/>
  </r>
  <r>
    <s v="TX501972"/>
    <x v="11"/>
    <x v="9"/>
    <n v="40"/>
    <n v="200"/>
    <x v="71"/>
    <d v="2025-03-14T00:00:00"/>
    <s v="M"/>
    <x v="0"/>
    <x v="0"/>
    <x v="0"/>
    <x v="1"/>
    <n v="1"/>
    <x v="10"/>
    <x v="1"/>
  </r>
  <r>
    <s v="TX501973"/>
    <x v="6"/>
    <x v="2"/>
    <n v="55.5"/>
    <n v="166.5"/>
    <x v="71"/>
    <d v="2025-03-14T00:00:00"/>
    <s v="M"/>
    <x v="4"/>
    <x v="2"/>
    <x v="0"/>
    <x v="1"/>
    <n v="1"/>
    <x v="10"/>
    <x v="1"/>
  </r>
  <r>
    <s v="TX501974"/>
    <x v="0"/>
    <x v="12"/>
    <n v="20.5"/>
    <n v="82"/>
    <x v="71"/>
    <d v="2025-03-17T00:00:00"/>
    <s v="F"/>
    <x v="4"/>
    <x v="0"/>
    <x v="0"/>
    <x v="1"/>
    <n v="4"/>
    <x v="10"/>
    <x v="2"/>
  </r>
  <r>
    <s v="TX501975"/>
    <x v="18"/>
    <x v="12"/>
    <n v="50.1"/>
    <n v="200.4"/>
    <x v="71"/>
    <d v="2025-03-14T00:00:00"/>
    <s v="F"/>
    <x v="4"/>
    <x v="0"/>
    <x v="0"/>
    <x v="1"/>
    <n v="1"/>
    <x v="10"/>
    <x v="2"/>
  </r>
  <r>
    <s v="TX501976"/>
    <x v="9"/>
    <x v="0"/>
    <n v="35.9"/>
    <n v="35.9"/>
    <x v="71"/>
    <d v="2025-03-15T00:00:00"/>
    <s v="M"/>
    <x v="1"/>
    <x v="2"/>
    <x v="0"/>
    <x v="1"/>
    <n v="2"/>
    <x v="10"/>
    <x v="1"/>
  </r>
  <r>
    <s v="TX501977"/>
    <x v="13"/>
    <x v="12"/>
    <n v="29.4"/>
    <n v="117.6"/>
    <x v="72"/>
    <d v="2025-03-15T00:00:00"/>
    <s v="M"/>
    <x v="2"/>
    <x v="2"/>
    <x v="0"/>
    <x v="33"/>
    <n v="1"/>
    <x v="10"/>
    <x v="1"/>
  </r>
  <r>
    <s v="TX501978"/>
    <x v="8"/>
    <x v="9"/>
    <n v="29.1"/>
    <n v="145.5"/>
    <x v="72"/>
    <d v="2025-03-22T00:00:00"/>
    <s v="O"/>
    <x v="2"/>
    <x v="1"/>
    <x v="0"/>
    <x v="33"/>
    <n v="8"/>
    <x v="10"/>
    <x v="3"/>
  </r>
  <r>
    <s v="TX501979"/>
    <x v="8"/>
    <x v="2"/>
    <n v="33.5"/>
    <n v="100.5"/>
    <x v="72"/>
    <d v="2025-03-26T00:00:00"/>
    <s v="M"/>
    <x v="0"/>
    <x v="2"/>
    <x v="0"/>
    <x v="22"/>
    <n v="12"/>
    <x v="10"/>
    <x v="1"/>
  </r>
  <r>
    <s v="TX501980"/>
    <x v="4"/>
    <x v="7"/>
    <n v="36"/>
    <n v="360"/>
    <x v="72"/>
    <d v="2025-03-14T00:00:00"/>
    <s v="M"/>
    <x v="3"/>
    <x v="2"/>
    <x v="0"/>
    <x v="3"/>
    <n v="0"/>
    <x v="10"/>
    <x v="1"/>
  </r>
  <r>
    <s v="TX501981"/>
    <x v="16"/>
    <x v="2"/>
    <n v="57.3"/>
    <n v="171.89999999999998"/>
    <x v="72"/>
    <d v="2025-03-18T00:00:00"/>
    <s v="F"/>
    <x v="0"/>
    <x v="2"/>
    <x v="0"/>
    <x v="3"/>
    <n v="4"/>
    <x v="10"/>
    <x v="2"/>
  </r>
  <r>
    <s v="TX501982"/>
    <x v="1"/>
    <x v="0"/>
    <n v="81.400000000000006"/>
    <n v="81.400000000000006"/>
    <x v="72"/>
    <d v="2025-03-15T00:00:00"/>
    <s v="F"/>
    <x v="2"/>
    <x v="2"/>
    <x v="0"/>
    <x v="3"/>
    <n v="1"/>
    <x v="10"/>
    <x v="2"/>
  </r>
  <r>
    <s v="TX501983"/>
    <x v="10"/>
    <x v="1"/>
    <n v="35.299999999999997"/>
    <n v="70.599999999999994"/>
    <x v="72"/>
    <d v="2025-03-18T00:00:00"/>
    <s v="M"/>
    <x v="0"/>
    <x v="2"/>
    <x v="0"/>
    <x v="3"/>
    <n v="4"/>
    <x v="10"/>
    <x v="1"/>
  </r>
  <r>
    <s v="TX501984"/>
    <x v="3"/>
    <x v="0"/>
    <n v="36.1"/>
    <n v="36.1"/>
    <x v="72"/>
    <d v="2025-03-15T00:00:00"/>
    <s v="F"/>
    <x v="4"/>
    <x v="0"/>
    <x v="0"/>
    <x v="3"/>
    <n v="1"/>
    <x v="10"/>
    <x v="2"/>
  </r>
  <r>
    <s v="TX501985"/>
    <x v="1"/>
    <x v="1"/>
    <n v="36.700000000000003"/>
    <n v="73.400000000000006"/>
    <x v="72"/>
    <d v="2025-03-16T00:00:00"/>
    <s v="F"/>
    <x v="0"/>
    <x v="2"/>
    <x v="0"/>
    <x v="3"/>
    <n v="2"/>
    <x v="10"/>
    <x v="2"/>
  </r>
  <r>
    <s v="TX501986"/>
    <x v="10"/>
    <x v="0"/>
    <n v="20.9"/>
    <n v="20.9"/>
    <x v="72"/>
    <d v="2025-03-16T00:00:00"/>
    <s v="F"/>
    <x v="0"/>
    <x v="4"/>
    <x v="0"/>
    <x v="3"/>
    <n v="2"/>
    <x v="10"/>
    <x v="2"/>
  </r>
  <r>
    <s v="TX501987"/>
    <x v="12"/>
    <x v="2"/>
    <n v="58.8"/>
    <n v="176.39999999999998"/>
    <x v="72"/>
    <d v="2025-03-18T00:00:00"/>
    <s v="M"/>
    <x v="0"/>
    <x v="2"/>
    <x v="0"/>
    <x v="25"/>
    <n v="4"/>
    <x v="10"/>
    <x v="1"/>
  </r>
  <r>
    <s v="TX501988"/>
    <x v="2"/>
    <x v="2"/>
    <n v="97.6"/>
    <n v="292.79999999999995"/>
    <x v="73"/>
    <d v="2025-03-17T00:00:00"/>
    <s v=""/>
    <x v="0"/>
    <x v="0"/>
    <x v="0"/>
    <x v="6"/>
    <n v="2"/>
    <x v="10"/>
    <x v="0"/>
  </r>
  <r>
    <s v="TX501989"/>
    <x v="1"/>
    <x v="1"/>
    <n v="58.7"/>
    <n v="117.4"/>
    <x v="73"/>
    <d v="2025-03-18T00:00:00"/>
    <s v="F"/>
    <x v="0"/>
    <x v="1"/>
    <x v="0"/>
    <x v="6"/>
    <n v="3"/>
    <x v="10"/>
    <x v="2"/>
  </r>
  <r>
    <s v="TX501990"/>
    <x v="6"/>
    <x v="9"/>
    <n v="71.900000000000006"/>
    <n v="359.5"/>
    <x v="73"/>
    <d v="2025-03-16T00:00:00"/>
    <s v=""/>
    <x v="0"/>
    <x v="1"/>
    <x v="0"/>
    <x v="6"/>
    <n v="1"/>
    <x v="10"/>
    <x v="0"/>
  </r>
  <r>
    <s v="TX501991"/>
    <x v="1"/>
    <x v="1"/>
    <n v="62.4"/>
    <n v="124.8"/>
    <x v="73"/>
    <d v="2025-03-17T00:00:00"/>
    <s v=""/>
    <x v="0"/>
    <x v="1"/>
    <x v="0"/>
    <x v="8"/>
    <n v="2"/>
    <x v="10"/>
    <x v="0"/>
  </r>
  <r>
    <s v="TX501992"/>
    <x v="6"/>
    <x v="27"/>
    <n v="53.8"/>
    <n v="860.8"/>
    <x v="73"/>
    <d v="2025-03-16T00:00:00"/>
    <s v="F"/>
    <x v="1"/>
    <x v="0"/>
    <x v="0"/>
    <x v="8"/>
    <n v="1"/>
    <x v="10"/>
    <x v="2"/>
  </r>
  <r>
    <s v="TX501993"/>
    <x v="9"/>
    <x v="0"/>
    <n v="43.8"/>
    <n v="43.8"/>
    <x v="73"/>
    <d v="2025-03-22T00:00:00"/>
    <s v="F"/>
    <x v="0"/>
    <x v="2"/>
    <x v="0"/>
    <x v="8"/>
    <n v="7"/>
    <x v="10"/>
    <x v="2"/>
  </r>
  <r>
    <s v="TX501994"/>
    <x v="5"/>
    <x v="2"/>
    <n v="53.6"/>
    <n v="160.80000000000001"/>
    <x v="73"/>
    <d v="2025-03-16T00:00:00"/>
    <s v="M"/>
    <x v="3"/>
    <x v="0"/>
    <x v="0"/>
    <x v="8"/>
    <n v="1"/>
    <x v="10"/>
    <x v="1"/>
  </r>
  <r>
    <s v="TX501995"/>
    <x v="12"/>
    <x v="1"/>
    <n v="84.3"/>
    <n v="168.6"/>
    <x v="73"/>
    <d v="2025-03-18T00:00:00"/>
    <s v="M"/>
    <x v="4"/>
    <x v="1"/>
    <x v="0"/>
    <x v="8"/>
    <n v="3"/>
    <x v="10"/>
    <x v="1"/>
  </r>
  <r>
    <s v="TX501996"/>
    <x v="6"/>
    <x v="11"/>
    <n v="117.9"/>
    <n v="1061.1000000000001"/>
    <x v="73"/>
    <d v="2025-03-16T00:00:00"/>
    <s v="F"/>
    <x v="1"/>
    <x v="2"/>
    <x v="0"/>
    <x v="8"/>
    <n v="1"/>
    <x v="10"/>
    <x v="2"/>
  </r>
  <r>
    <s v="TX501997"/>
    <x v="4"/>
    <x v="8"/>
    <n v="30"/>
    <n v="240"/>
    <x v="73"/>
    <d v="2025-03-16T00:00:00"/>
    <s v="F"/>
    <x v="1"/>
    <x v="0"/>
    <x v="0"/>
    <x v="26"/>
    <n v="1"/>
    <x v="10"/>
    <x v="2"/>
  </r>
  <r>
    <s v="TX501998"/>
    <x v="14"/>
    <x v="2"/>
    <n v="37.299999999999997"/>
    <n v="111.89999999999999"/>
    <x v="73"/>
    <d v="2025-03-16T00:00:00"/>
    <s v="M"/>
    <x v="2"/>
    <x v="0"/>
    <x v="0"/>
    <x v="9"/>
    <n v="1"/>
    <x v="10"/>
    <x v="1"/>
  </r>
  <r>
    <s v="TX501999"/>
    <x v="4"/>
    <x v="11"/>
    <n v="25.1"/>
    <n v="225.9"/>
    <x v="73"/>
    <d v="2025-03-17T00:00:00"/>
    <s v="M"/>
    <x v="1"/>
    <x v="2"/>
    <x v="0"/>
    <x v="11"/>
    <n v="2"/>
    <x v="10"/>
    <x v="1"/>
  </r>
  <r>
    <s v="TX502000"/>
    <x v="8"/>
    <x v="5"/>
    <n v="36"/>
    <n v="396"/>
    <x v="73"/>
    <d v="2025-03-25T00:00:00"/>
    <s v="M"/>
    <x v="1"/>
    <x v="0"/>
    <x v="0"/>
    <x v="18"/>
    <n v="10"/>
    <x v="10"/>
    <x v="1"/>
  </r>
  <r>
    <s v="TX502001"/>
    <x v="16"/>
    <x v="2"/>
    <n v="48.5"/>
    <n v="145.5"/>
    <x v="73"/>
    <d v="2025-03-19T00:00:00"/>
    <s v="F"/>
    <x v="1"/>
    <x v="0"/>
    <x v="0"/>
    <x v="19"/>
    <n v="4"/>
    <x v="10"/>
    <x v="2"/>
  </r>
  <r>
    <s v="TX502002"/>
    <x v="17"/>
    <x v="13"/>
    <n v="21.1"/>
    <n v="126.60000000000001"/>
    <x v="73"/>
    <d v="2025-03-16T00:00:00"/>
    <s v="M"/>
    <x v="1"/>
    <x v="2"/>
    <x v="0"/>
    <x v="21"/>
    <n v="1"/>
    <x v="10"/>
    <x v="1"/>
  </r>
  <r>
    <s v="TX502003"/>
    <x v="15"/>
    <x v="21"/>
    <n v="43.2"/>
    <n v="604.80000000000007"/>
    <x v="73"/>
    <d v="2025-03-16T00:00:00"/>
    <s v="O"/>
    <x v="0"/>
    <x v="1"/>
    <x v="0"/>
    <x v="21"/>
    <n v="1"/>
    <x v="10"/>
    <x v="3"/>
  </r>
  <r>
    <s v="TX502004"/>
    <x v="9"/>
    <x v="1"/>
    <n v="21.1"/>
    <n v="42.2"/>
    <x v="73"/>
    <d v="2025-03-16T00:00:00"/>
    <s v=""/>
    <x v="3"/>
    <x v="1"/>
    <x v="0"/>
    <x v="21"/>
    <n v="1"/>
    <x v="10"/>
    <x v="0"/>
  </r>
  <r>
    <s v="TX502005"/>
    <x v="6"/>
    <x v="12"/>
    <n v="41.3"/>
    <n v="165.2"/>
    <x v="73"/>
    <d v="2025-03-17T00:00:00"/>
    <s v="F"/>
    <x v="3"/>
    <x v="2"/>
    <x v="0"/>
    <x v="1"/>
    <n v="2"/>
    <x v="10"/>
    <x v="2"/>
  </r>
  <r>
    <s v="TX502006"/>
    <x v="8"/>
    <x v="1"/>
    <n v="15.3"/>
    <n v="30.6"/>
    <x v="73"/>
    <d v="2025-03-18T00:00:00"/>
    <s v=""/>
    <x v="2"/>
    <x v="2"/>
    <x v="0"/>
    <x v="1"/>
    <n v="3"/>
    <x v="10"/>
    <x v="0"/>
  </r>
  <r>
    <s v="TX502007"/>
    <x v="1"/>
    <x v="0"/>
    <n v="54.6"/>
    <n v="54.6"/>
    <x v="73"/>
    <d v="2025-03-17T00:00:00"/>
    <s v="M"/>
    <x v="1"/>
    <x v="1"/>
    <x v="0"/>
    <x v="2"/>
    <n v="2"/>
    <x v="10"/>
    <x v="1"/>
  </r>
  <r>
    <s v="TX502008"/>
    <x v="8"/>
    <x v="0"/>
    <n v="15.9"/>
    <n v="15.9"/>
    <x v="73"/>
    <d v="2025-03-16T00:00:00"/>
    <s v="M"/>
    <x v="0"/>
    <x v="1"/>
    <x v="0"/>
    <x v="22"/>
    <n v="1"/>
    <x v="10"/>
    <x v="1"/>
  </r>
  <r>
    <s v="TX502009"/>
    <x v="9"/>
    <x v="0"/>
    <n v="50.2"/>
    <n v="50.2"/>
    <x v="73"/>
    <d v="2025-03-17T00:00:00"/>
    <s v="F"/>
    <x v="3"/>
    <x v="2"/>
    <x v="0"/>
    <x v="34"/>
    <n v="2"/>
    <x v="10"/>
    <x v="2"/>
  </r>
  <r>
    <s v="TX502010"/>
    <x v="11"/>
    <x v="12"/>
    <n v="85.1"/>
    <n v="340.4"/>
    <x v="73"/>
    <d v="2025-03-16T00:00:00"/>
    <s v="F"/>
    <x v="3"/>
    <x v="4"/>
    <x v="0"/>
    <x v="34"/>
    <n v="1"/>
    <x v="10"/>
    <x v="2"/>
  </r>
  <r>
    <s v="TX502011"/>
    <x v="11"/>
    <x v="1"/>
    <n v="41.4"/>
    <n v="82.8"/>
    <x v="73"/>
    <d v="2025-03-16T00:00:00"/>
    <s v="F"/>
    <x v="0"/>
    <x v="2"/>
    <x v="0"/>
    <x v="3"/>
    <n v="1"/>
    <x v="10"/>
    <x v="2"/>
  </r>
  <r>
    <s v="TX502012"/>
    <x v="4"/>
    <x v="3"/>
    <n v="32.700000000000003"/>
    <n v="228.90000000000003"/>
    <x v="73"/>
    <d v="2025-03-16T00:00:00"/>
    <s v="F"/>
    <x v="2"/>
    <x v="1"/>
    <x v="0"/>
    <x v="3"/>
    <n v="1"/>
    <x v="10"/>
    <x v="2"/>
  </r>
  <r>
    <s v="TX502013"/>
    <x v="4"/>
    <x v="1"/>
    <n v="41.6"/>
    <n v="83.2"/>
    <x v="73"/>
    <d v="2025-03-17T00:00:00"/>
    <s v="M"/>
    <x v="4"/>
    <x v="1"/>
    <x v="0"/>
    <x v="3"/>
    <n v="2"/>
    <x v="10"/>
    <x v="1"/>
  </r>
  <r>
    <s v="TX502014"/>
    <x v="5"/>
    <x v="12"/>
    <n v="64.8"/>
    <n v="259.2"/>
    <x v="73"/>
    <d v="2025-03-16T00:00:00"/>
    <s v=""/>
    <x v="2"/>
    <x v="0"/>
    <x v="0"/>
    <x v="3"/>
    <n v="1"/>
    <x v="10"/>
    <x v="0"/>
  </r>
  <r>
    <s v="TX502015"/>
    <x v="15"/>
    <x v="1"/>
    <n v="33.6"/>
    <n v="67.2"/>
    <x v="73"/>
    <d v="2025-03-16T00:00:00"/>
    <s v="M"/>
    <x v="0"/>
    <x v="2"/>
    <x v="0"/>
    <x v="3"/>
    <n v="1"/>
    <x v="10"/>
    <x v="1"/>
  </r>
  <r>
    <s v="TX502016"/>
    <x v="6"/>
    <x v="2"/>
    <n v="100.7"/>
    <n v="302.10000000000002"/>
    <x v="73"/>
    <d v="2025-03-16T00:00:00"/>
    <s v=""/>
    <x v="1"/>
    <x v="0"/>
    <x v="0"/>
    <x v="3"/>
    <n v="1"/>
    <x v="10"/>
    <x v="0"/>
  </r>
  <r>
    <s v="TX502017"/>
    <x v="4"/>
    <x v="1"/>
    <n v="49.3"/>
    <n v="98.6"/>
    <x v="74"/>
    <d v="2025-03-18T00:00:00"/>
    <s v="F"/>
    <x v="4"/>
    <x v="2"/>
    <x v="0"/>
    <x v="3"/>
    <n v="2"/>
    <x v="11"/>
    <x v="2"/>
  </r>
  <r>
    <s v="TX502018"/>
    <x v="2"/>
    <x v="13"/>
    <n v="97"/>
    <n v="582"/>
    <x v="74"/>
    <d v="2025-03-19T00:00:00"/>
    <s v="M"/>
    <x v="2"/>
    <x v="2"/>
    <x v="0"/>
    <x v="3"/>
    <n v="3"/>
    <x v="11"/>
    <x v="1"/>
  </r>
  <r>
    <s v="TX502019"/>
    <x v="0"/>
    <x v="13"/>
    <n v="25.2"/>
    <n v="151.19999999999999"/>
    <x v="74"/>
    <d v="2025-03-19T00:00:00"/>
    <s v="F"/>
    <x v="4"/>
    <x v="2"/>
    <x v="0"/>
    <x v="3"/>
    <n v="3"/>
    <x v="11"/>
    <x v="2"/>
  </r>
  <r>
    <s v="TX502020"/>
    <x v="0"/>
    <x v="5"/>
    <n v="12.2"/>
    <n v="134.19999999999999"/>
    <x v="74"/>
    <d v="2025-03-17T00:00:00"/>
    <s v=""/>
    <x v="0"/>
    <x v="1"/>
    <x v="0"/>
    <x v="3"/>
    <n v="1"/>
    <x v="11"/>
    <x v="0"/>
  </r>
  <r>
    <s v="TX502021"/>
    <x v="8"/>
    <x v="3"/>
    <n v="38.799999999999997"/>
    <n v="271.59999999999997"/>
    <x v="74"/>
    <d v="2025-03-18T00:00:00"/>
    <s v="F"/>
    <x v="1"/>
    <x v="1"/>
    <x v="0"/>
    <x v="23"/>
    <n v="2"/>
    <x v="11"/>
    <x v="2"/>
  </r>
  <r>
    <s v="TX502022"/>
    <x v="2"/>
    <x v="12"/>
    <n v="53.2"/>
    <n v="212.8"/>
    <x v="74"/>
    <d v="2025-03-17T00:00:00"/>
    <s v="M"/>
    <x v="0"/>
    <x v="2"/>
    <x v="0"/>
    <x v="8"/>
    <n v="1"/>
    <x v="11"/>
    <x v="1"/>
  </r>
  <r>
    <s v="TX502023"/>
    <x v="6"/>
    <x v="3"/>
    <n v="151"/>
    <n v="1057"/>
    <x v="74"/>
    <d v="2025-03-17T00:00:00"/>
    <s v="O"/>
    <x v="1"/>
    <x v="1"/>
    <x v="0"/>
    <x v="8"/>
    <n v="1"/>
    <x v="11"/>
    <x v="3"/>
  </r>
  <r>
    <s v="TX502024"/>
    <x v="1"/>
    <x v="1"/>
    <n v="37.1"/>
    <n v="74.2"/>
    <x v="74"/>
    <d v="2025-03-17T00:00:00"/>
    <s v="F"/>
    <x v="4"/>
    <x v="0"/>
    <x v="0"/>
    <x v="8"/>
    <n v="1"/>
    <x v="11"/>
    <x v="2"/>
  </r>
  <r>
    <s v="TX502025"/>
    <x v="5"/>
    <x v="1"/>
    <n v="38.9"/>
    <n v="77.8"/>
    <x v="74"/>
    <d v="2025-03-17T00:00:00"/>
    <s v="M"/>
    <x v="4"/>
    <x v="0"/>
    <x v="0"/>
    <x v="8"/>
    <n v="1"/>
    <x v="11"/>
    <x v="1"/>
  </r>
  <r>
    <s v="TX502026"/>
    <x v="10"/>
    <x v="1"/>
    <n v="35.200000000000003"/>
    <n v="70.400000000000006"/>
    <x v="74"/>
    <d v="2025-03-17T00:00:00"/>
    <s v="M"/>
    <x v="0"/>
    <x v="2"/>
    <x v="0"/>
    <x v="17"/>
    <n v="1"/>
    <x v="11"/>
    <x v="1"/>
  </r>
  <r>
    <s v="TX502027"/>
    <x v="0"/>
    <x v="1"/>
    <n v="22.3"/>
    <n v="44.6"/>
    <x v="74"/>
    <d v="2025-03-18T00:00:00"/>
    <s v="F"/>
    <x v="1"/>
    <x v="0"/>
    <x v="0"/>
    <x v="9"/>
    <n v="2"/>
    <x v="11"/>
    <x v="2"/>
  </r>
  <r>
    <s v="TX502028"/>
    <x v="9"/>
    <x v="0"/>
    <n v="43.3"/>
    <n v="43.3"/>
    <x v="74"/>
    <d v="2025-03-19T00:00:00"/>
    <s v="F"/>
    <x v="0"/>
    <x v="2"/>
    <x v="0"/>
    <x v="11"/>
    <n v="3"/>
    <x v="11"/>
    <x v="2"/>
  </r>
  <r>
    <s v="TX502029"/>
    <x v="6"/>
    <x v="13"/>
    <n v="75.900000000000006"/>
    <n v="455.40000000000003"/>
    <x v="74"/>
    <d v="2025-03-22T00:00:00"/>
    <s v="M"/>
    <x v="0"/>
    <x v="0"/>
    <x v="0"/>
    <x v="11"/>
    <n v="6"/>
    <x v="11"/>
    <x v="1"/>
  </r>
  <r>
    <s v="TX502030"/>
    <x v="6"/>
    <x v="2"/>
    <n v="78.7"/>
    <n v="236.10000000000002"/>
    <x v="74"/>
    <d v="2025-03-20T00:00:00"/>
    <s v="F"/>
    <x v="2"/>
    <x v="1"/>
    <x v="0"/>
    <x v="11"/>
    <n v="4"/>
    <x v="11"/>
    <x v="2"/>
  </r>
  <r>
    <s v="TX502031"/>
    <x v="1"/>
    <x v="0"/>
    <n v="66.3"/>
    <n v="66.3"/>
    <x v="74"/>
    <d v="2025-03-20T00:00:00"/>
    <s v="F"/>
    <x v="0"/>
    <x v="2"/>
    <x v="0"/>
    <x v="19"/>
    <n v="4"/>
    <x v="11"/>
    <x v="2"/>
  </r>
  <r>
    <s v="TX502032"/>
    <x v="8"/>
    <x v="1"/>
    <n v="33.6"/>
    <n v="67.2"/>
    <x v="74"/>
    <d v="2025-03-16T00:00:00"/>
    <s v="M"/>
    <x v="0"/>
    <x v="1"/>
    <x v="0"/>
    <x v="19"/>
    <n v="0"/>
    <x v="11"/>
    <x v="1"/>
  </r>
  <r>
    <s v="TX502033"/>
    <x v="2"/>
    <x v="3"/>
    <n v="61.4"/>
    <n v="429.8"/>
    <x v="74"/>
    <d v="2025-03-17T00:00:00"/>
    <s v="M"/>
    <x v="4"/>
    <x v="0"/>
    <x v="0"/>
    <x v="19"/>
    <n v="1"/>
    <x v="11"/>
    <x v="1"/>
  </r>
  <r>
    <s v="TX502034"/>
    <x v="8"/>
    <x v="1"/>
    <n v="17.5"/>
    <n v="35"/>
    <x v="74"/>
    <d v="2025-03-19T00:00:00"/>
    <s v="F"/>
    <x v="0"/>
    <x v="0"/>
    <x v="0"/>
    <x v="21"/>
    <n v="3"/>
    <x v="11"/>
    <x v="2"/>
  </r>
  <r>
    <s v="TX502035"/>
    <x v="8"/>
    <x v="1"/>
    <n v="32.5"/>
    <n v="65"/>
    <x v="74"/>
    <d v="2025-03-19T00:00:00"/>
    <s v="F"/>
    <x v="1"/>
    <x v="0"/>
    <x v="0"/>
    <x v="21"/>
    <n v="3"/>
    <x v="11"/>
    <x v="2"/>
  </r>
  <r>
    <s v="TX502036"/>
    <x v="4"/>
    <x v="0"/>
    <n v="34.6"/>
    <n v="34.6"/>
    <x v="74"/>
    <d v="2025-03-17T00:00:00"/>
    <s v="F"/>
    <x v="4"/>
    <x v="0"/>
    <x v="0"/>
    <x v="21"/>
    <n v="1"/>
    <x v="11"/>
    <x v="2"/>
  </r>
  <r>
    <s v="TX502037"/>
    <x v="2"/>
    <x v="0"/>
    <n v="75.900000000000006"/>
    <n v="75.900000000000006"/>
    <x v="74"/>
    <d v="2025-03-16T00:00:00"/>
    <s v="M"/>
    <x v="1"/>
    <x v="2"/>
    <x v="0"/>
    <x v="21"/>
    <n v="0"/>
    <x v="11"/>
    <x v="1"/>
  </r>
  <r>
    <s v="TX502038"/>
    <x v="1"/>
    <x v="2"/>
    <n v="42.1"/>
    <n v="126.30000000000001"/>
    <x v="74"/>
    <d v="2025-03-19T00:00:00"/>
    <s v="M"/>
    <x v="1"/>
    <x v="1"/>
    <x v="0"/>
    <x v="21"/>
    <n v="3"/>
    <x v="11"/>
    <x v="1"/>
  </r>
  <r>
    <s v="TX502039"/>
    <x v="7"/>
    <x v="2"/>
    <n v="65.3"/>
    <n v="195.89999999999998"/>
    <x v="74"/>
    <d v="2025-03-23T00:00:00"/>
    <s v="M"/>
    <x v="0"/>
    <x v="0"/>
    <x v="0"/>
    <x v="1"/>
    <n v="7"/>
    <x v="11"/>
    <x v="1"/>
  </r>
  <r>
    <s v="TX502040"/>
    <x v="15"/>
    <x v="0"/>
    <n v="20.6"/>
    <n v="20.6"/>
    <x v="74"/>
    <d v="2025-03-19T00:00:00"/>
    <s v="M"/>
    <x v="3"/>
    <x v="0"/>
    <x v="0"/>
    <x v="42"/>
    <n v="3"/>
    <x v="11"/>
    <x v="1"/>
  </r>
  <r>
    <s v="TX502041"/>
    <x v="8"/>
    <x v="3"/>
    <n v="16.5"/>
    <n v="115.5"/>
    <x v="74"/>
    <d v="2025-03-17T00:00:00"/>
    <s v="M"/>
    <x v="1"/>
    <x v="1"/>
    <x v="0"/>
    <x v="2"/>
    <n v="1"/>
    <x v="11"/>
    <x v="1"/>
  </r>
  <r>
    <s v="TX502042"/>
    <x v="16"/>
    <x v="7"/>
    <n v="36.200000000000003"/>
    <n v="362"/>
    <x v="74"/>
    <d v="2025-03-18T00:00:00"/>
    <s v="M"/>
    <x v="0"/>
    <x v="2"/>
    <x v="0"/>
    <x v="2"/>
    <n v="2"/>
    <x v="11"/>
    <x v="1"/>
  </r>
  <r>
    <s v="TX502043"/>
    <x v="6"/>
    <x v="0"/>
    <n v="53.2"/>
    <n v="53.2"/>
    <x v="74"/>
    <d v="2025-03-17T00:00:00"/>
    <s v="F"/>
    <x v="0"/>
    <x v="1"/>
    <x v="0"/>
    <x v="22"/>
    <n v="1"/>
    <x v="11"/>
    <x v="2"/>
  </r>
  <r>
    <s v="TX502044"/>
    <x v="2"/>
    <x v="21"/>
    <n v="176"/>
    <n v="2464"/>
    <x v="74"/>
    <d v="2025-03-17T00:00:00"/>
    <s v="F"/>
    <x v="0"/>
    <x v="1"/>
    <x v="0"/>
    <x v="3"/>
    <n v="1"/>
    <x v="11"/>
    <x v="2"/>
  </r>
  <r>
    <s v="TX502045"/>
    <x v="1"/>
    <x v="0"/>
    <n v="52.4"/>
    <n v="52.4"/>
    <x v="74"/>
    <d v="2025-03-17T00:00:00"/>
    <s v="M"/>
    <x v="1"/>
    <x v="0"/>
    <x v="0"/>
    <x v="3"/>
    <n v="1"/>
    <x v="11"/>
    <x v="1"/>
  </r>
  <r>
    <s v="TX502046"/>
    <x v="10"/>
    <x v="2"/>
    <n v="48.2"/>
    <n v="144.60000000000002"/>
    <x v="74"/>
    <d v="2025-03-17T00:00:00"/>
    <s v="F"/>
    <x v="1"/>
    <x v="2"/>
    <x v="0"/>
    <x v="3"/>
    <n v="1"/>
    <x v="11"/>
    <x v="2"/>
  </r>
  <r>
    <s v="TX502047"/>
    <x v="15"/>
    <x v="0"/>
    <n v="51.6"/>
    <n v="51.6"/>
    <x v="74"/>
    <d v="2025-03-20T00:00:00"/>
    <s v="F"/>
    <x v="2"/>
    <x v="1"/>
    <x v="0"/>
    <x v="3"/>
    <n v="4"/>
    <x v="11"/>
    <x v="2"/>
  </r>
  <r>
    <s v="TX502048"/>
    <x v="0"/>
    <x v="12"/>
    <n v="33.700000000000003"/>
    <n v="134.80000000000001"/>
    <x v="75"/>
    <d v="2025-03-18T00:00:00"/>
    <s v="M"/>
    <x v="0"/>
    <x v="0"/>
    <x v="0"/>
    <x v="3"/>
    <n v="1"/>
    <x v="11"/>
    <x v="1"/>
  </r>
  <r>
    <s v="TX502049"/>
    <x v="4"/>
    <x v="7"/>
    <n v="36.299999999999997"/>
    <n v="363"/>
    <x v="75"/>
    <d v="2025-03-19T00:00:00"/>
    <s v="F"/>
    <x v="4"/>
    <x v="1"/>
    <x v="0"/>
    <x v="3"/>
    <n v="2"/>
    <x v="11"/>
    <x v="2"/>
  </r>
  <r>
    <s v="TX502050"/>
    <x v="8"/>
    <x v="0"/>
    <n v="23.4"/>
    <n v="23.4"/>
    <x v="75"/>
    <d v="2025-03-22T00:00:00"/>
    <s v="F"/>
    <x v="1"/>
    <x v="2"/>
    <x v="0"/>
    <x v="3"/>
    <n v="5"/>
    <x v="11"/>
    <x v="2"/>
  </r>
  <r>
    <s v="TX502051"/>
    <x v="15"/>
    <x v="8"/>
    <n v="56.6"/>
    <n v="452.8"/>
    <x v="75"/>
    <d v="2025-03-19T00:00:00"/>
    <s v="F"/>
    <x v="1"/>
    <x v="0"/>
    <x v="0"/>
    <x v="3"/>
    <n v="2"/>
    <x v="11"/>
    <x v="2"/>
  </r>
  <r>
    <s v="TX502052"/>
    <x v="15"/>
    <x v="1"/>
    <n v="26.8"/>
    <n v="53.6"/>
    <x v="75"/>
    <d v="2025-03-18T00:00:00"/>
    <s v="M"/>
    <x v="0"/>
    <x v="0"/>
    <x v="0"/>
    <x v="4"/>
    <n v="1"/>
    <x v="11"/>
    <x v="1"/>
  </r>
  <r>
    <s v="TX502053"/>
    <x v="0"/>
    <x v="2"/>
    <n v="11.3"/>
    <n v="33.900000000000006"/>
    <x v="75"/>
    <d v="2025-03-19T00:00:00"/>
    <s v="M"/>
    <x v="2"/>
    <x v="0"/>
    <x v="0"/>
    <x v="25"/>
    <n v="2"/>
    <x v="11"/>
    <x v="1"/>
  </r>
  <r>
    <s v="TX502054"/>
    <x v="6"/>
    <x v="2"/>
    <n v="60.1"/>
    <n v="180.3"/>
    <x v="75"/>
    <d v="2025-03-20T00:00:00"/>
    <s v="F"/>
    <x v="0"/>
    <x v="0"/>
    <x v="0"/>
    <x v="7"/>
    <n v="3"/>
    <x v="11"/>
    <x v="2"/>
  </r>
  <r>
    <s v="TX502055"/>
    <x v="0"/>
    <x v="5"/>
    <n v="27.7"/>
    <n v="304.7"/>
    <x v="75"/>
    <d v="2025-03-22T00:00:00"/>
    <s v="F"/>
    <x v="0"/>
    <x v="0"/>
    <x v="0"/>
    <x v="8"/>
    <n v="5"/>
    <x v="11"/>
    <x v="2"/>
  </r>
  <r>
    <s v="TX502056"/>
    <x v="15"/>
    <x v="0"/>
    <n v="71.400000000000006"/>
    <n v="71.400000000000006"/>
    <x v="75"/>
    <d v="2025-03-20T00:00:00"/>
    <s v="M"/>
    <x v="0"/>
    <x v="2"/>
    <x v="0"/>
    <x v="8"/>
    <n v="3"/>
    <x v="11"/>
    <x v="1"/>
  </r>
  <r>
    <s v="TX502057"/>
    <x v="2"/>
    <x v="1"/>
    <n v="66.7"/>
    <n v="133.4"/>
    <x v="75"/>
    <d v="2025-03-18T00:00:00"/>
    <s v="F"/>
    <x v="0"/>
    <x v="2"/>
    <x v="0"/>
    <x v="8"/>
    <n v="1"/>
    <x v="11"/>
    <x v="2"/>
  </r>
  <r>
    <s v="TX502058"/>
    <x v="13"/>
    <x v="9"/>
    <n v="39.1"/>
    <n v="195.5"/>
    <x v="75"/>
    <d v="2025-03-18T00:00:00"/>
    <s v="F"/>
    <x v="0"/>
    <x v="0"/>
    <x v="0"/>
    <x v="8"/>
    <n v="1"/>
    <x v="11"/>
    <x v="2"/>
  </r>
  <r>
    <s v="TX502059"/>
    <x v="8"/>
    <x v="12"/>
    <n v="24.9"/>
    <n v="99.6"/>
    <x v="75"/>
    <d v="2025-03-22T00:00:00"/>
    <s v="M"/>
    <x v="1"/>
    <x v="2"/>
    <x v="0"/>
    <x v="8"/>
    <n v="5"/>
    <x v="11"/>
    <x v="1"/>
  </r>
  <r>
    <s v="TX502060"/>
    <x v="5"/>
    <x v="9"/>
    <n v="29.2"/>
    <n v="146"/>
    <x v="75"/>
    <d v="2025-03-18T00:00:00"/>
    <s v="M"/>
    <x v="0"/>
    <x v="2"/>
    <x v="0"/>
    <x v="17"/>
    <n v="1"/>
    <x v="11"/>
    <x v="1"/>
  </r>
  <r>
    <s v="TX502061"/>
    <x v="13"/>
    <x v="21"/>
    <n v="28.3"/>
    <n v="396.2"/>
    <x v="75"/>
    <d v="2025-03-19T00:00:00"/>
    <s v="F"/>
    <x v="1"/>
    <x v="0"/>
    <x v="0"/>
    <x v="11"/>
    <n v="2"/>
    <x v="11"/>
    <x v="2"/>
  </r>
  <r>
    <s v="TX502062"/>
    <x v="9"/>
    <x v="2"/>
    <n v="37.799999999999997"/>
    <n v="113.39999999999999"/>
    <x v="75"/>
    <d v="2025-03-18T00:00:00"/>
    <s v="F"/>
    <x v="0"/>
    <x v="1"/>
    <x v="0"/>
    <x v="11"/>
    <n v="1"/>
    <x v="11"/>
    <x v="2"/>
  </r>
  <r>
    <s v="TX502063"/>
    <x v="14"/>
    <x v="3"/>
    <n v="28.1"/>
    <n v="196.70000000000002"/>
    <x v="75"/>
    <d v="2025-03-23T00:00:00"/>
    <s v="F"/>
    <x v="2"/>
    <x v="0"/>
    <x v="0"/>
    <x v="11"/>
    <n v="6"/>
    <x v="11"/>
    <x v="2"/>
  </r>
  <r>
    <s v="TX502064"/>
    <x v="1"/>
    <x v="2"/>
    <n v="59.7"/>
    <n v="179.10000000000002"/>
    <x v="75"/>
    <d v="2025-03-19T00:00:00"/>
    <s v="F"/>
    <x v="2"/>
    <x v="0"/>
    <x v="0"/>
    <x v="11"/>
    <n v="2"/>
    <x v="11"/>
    <x v="2"/>
  </r>
  <r>
    <s v="TX502065"/>
    <x v="16"/>
    <x v="0"/>
    <n v="71.900000000000006"/>
    <n v="71.900000000000006"/>
    <x v="75"/>
    <d v="2025-03-18T00:00:00"/>
    <s v="M"/>
    <x v="1"/>
    <x v="1"/>
    <x v="0"/>
    <x v="11"/>
    <n v="1"/>
    <x v="11"/>
    <x v="1"/>
  </r>
  <r>
    <s v="TX502066"/>
    <x v="1"/>
    <x v="1"/>
    <n v="56.9"/>
    <n v="113.8"/>
    <x v="75"/>
    <d v="2025-03-18T00:00:00"/>
    <s v="M"/>
    <x v="2"/>
    <x v="0"/>
    <x v="0"/>
    <x v="13"/>
    <n v="1"/>
    <x v="11"/>
    <x v="1"/>
  </r>
  <r>
    <s v="TX502067"/>
    <x v="8"/>
    <x v="1"/>
    <n v="15.8"/>
    <n v="31.6"/>
    <x v="75"/>
    <d v="2025-03-20T00:00:00"/>
    <s v="F"/>
    <x v="2"/>
    <x v="1"/>
    <x v="0"/>
    <x v="1"/>
    <n v="3"/>
    <x v="11"/>
    <x v="2"/>
  </r>
  <r>
    <s v="TX502068"/>
    <x v="11"/>
    <x v="12"/>
    <n v="61.7"/>
    <n v="246.8"/>
    <x v="75"/>
    <d v="2025-03-19T00:00:00"/>
    <s v="F"/>
    <x v="2"/>
    <x v="0"/>
    <x v="0"/>
    <x v="22"/>
    <n v="2"/>
    <x v="11"/>
    <x v="2"/>
  </r>
  <r>
    <s v="TX502069"/>
    <x v="2"/>
    <x v="7"/>
    <n v="105.2"/>
    <n v="1052"/>
    <x v="75"/>
    <d v="2025-03-19T00:00:00"/>
    <s v="M"/>
    <x v="1"/>
    <x v="4"/>
    <x v="0"/>
    <x v="3"/>
    <n v="2"/>
    <x v="11"/>
    <x v="1"/>
  </r>
  <r>
    <s v="TX502070"/>
    <x v="0"/>
    <x v="1"/>
    <n v="17"/>
    <n v="34"/>
    <x v="75"/>
    <d v="2025-03-19T00:00:00"/>
    <s v="F"/>
    <x v="2"/>
    <x v="0"/>
    <x v="0"/>
    <x v="3"/>
    <n v="2"/>
    <x v="11"/>
    <x v="2"/>
  </r>
  <r>
    <s v="TX502071"/>
    <x v="6"/>
    <x v="2"/>
    <n v="84.1"/>
    <n v="252.29999999999998"/>
    <x v="75"/>
    <d v="2025-03-18T00:00:00"/>
    <s v="M"/>
    <x v="2"/>
    <x v="0"/>
    <x v="0"/>
    <x v="3"/>
    <n v="1"/>
    <x v="11"/>
    <x v="1"/>
  </r>
  <r>
    <s v="TX502072"/>
    <x v="3"/>
    <x v="12"/>
    <n v="59.5"/>
    <n v="238"/>
    <x v="75"/>
    <d v="2025-03-22T00:00:00"/>
    <s v="M"/>
    <x v="0"/>
    <x v="2"/>
    <x v="0"/>
    <x v="3"/>
    <n v="5"/>
    <x v="11"/>
    <x v="1"/>
  </r>
  <r>
    <s v="TX502073"/>
    <x v="8"/>
    <x v="1"/>
    <n v="57.5"/>
    <n v="115"/>
    <x v="75"/>
    <d v="2025-03-19T00:00:00"/>
    <s v="M"/>
    <x v="1"/>
    <x v="2"/>
    <x v="0"/>
    <x v="3"/>
    <n v="2"/>
    <x v="11"/>
    <x v="1"/>
  </r>
  <r>
    <s v="TX502074"/>
    <x v="8"/>
    <x v="0"/>
    <n v="34.299999999999997"/>
    <n v="34.299999999999997"/>
    <x v="75"/>
    <d v="2025-03-18T00:00:00"/>
    <s v="F"/>
    <x v="4"/>
    <x v="2"/>
    <x v="0"/>
    <x v="3"/>
    <n v="1"/>
    <x v="11"/>
    <x v="2"/>
  </r>
  <r>
    <s v="TX502075"/>
    <x v="5"/>
    <x v="1"/>
    <n v="27.8"/>
    <n v="55.6"/>
    <x v="76"/>
    <d v="2025-03-20T00:00:00"/>
    <s v="F"/>
    <x v="0"/>
    <x v="0"/>
    <x v="0"/>
    <x v="3"/>
    <n v="2"/>
    <x v="11"/>
    <x v="2"/>
  </r>
  <r>
    <s v="TX502076"/>
    <x v="12"/>
    <x v="1"/>
    <n v="85"/>
    <n v="170"/>
    <x v="76"/>
    <d v="2025-03-18T00:00:00"/>
    <s v="M"/>
    <x v="2"/>
    <x v="2"/>
    <x v="0"/>
    <x v="3"/>
    <n v="0"/>
    <x v="11"/>
    <x v="1"/>
  </r>
  <r>
    <s v="TX502077"/>
    <x v="6"/>
    <x v="1"/>
    <n v="95"/>
    <n v="190"/>
    <x v="76"/>
    <d v="2025-03-20T00:00:00"/>
    <s v="F"/>
    <x v="0"/>
    <x v="0"/>
    <x v="0"/>
    <x v="3"/>
    <n v="2"/>
    <x v="11"/>
    <x v="2"/>
  </r>
  <r>
    <s v="TX502078"/>
    <x v="16"/>
    <x v="1"/>
    <n v="32"/>
    <n v="64"/>
    <x v="76"/>
    <d v="2025-03-20T00:00:00"/>
    <s v="M"/>
    <x v="0"/>
    <x v="1"/>
    <x v="0"/>
    <x v="3"/>
    <n v="2"/>
    <x v="11"/>
    <x v="1"/>
  </r>
  <r>
    <s v="TX502079"/>
    <x v="2"/>
    <x v="1"/>
    <n v="65.2"/>
    <n v="130.4"/>
    <x v="76"/>
    <d v="2025-03-19T00:00:00"/>
    <s v="F"/>
    <x v="1"/>
    <x v="0"/>
    <x v="0"/>
    <x v="3"/>
    <n v="1"/>
    <x v="11"/>
    <x v="2"/>
  </r>
  <r>
    <s v="TX502080"/>
    <x v="17"/>
    <x v="12"/>
    <n v="22"/>
    <n v="88"/>
    <x v="76"/>
    <d v="2025-03-19T00:00:00"/>
    <s v="M"/>
    <x v="1"/>
    <x v="2"/>
    <x v="0"/>
    <x v="3"/>
    <n v="1"/>
    <x v="11"/>
    <x v="1"/>
  </r>
  <r>
    <s v="TX502081"/>
    <x v="15"/>
    <x v="2"/>
    <n v="69.400000000000006"/>
    <n v="208.20000000000002"/>
    <x v="76"/>
    <d v="2025-03-21T00:00:00"/>
    <s v="M"/>
    <x v="1"/>
    <x v="2"/>
    <x v="0"/>
    <x v="3"/>
    <n v="3"/>
    <x v="11"/>
    <x v="1"/>
  </r>
  <r>
    <s v="TX502082"/>
    <x v="10"/>
    <x v="13"/>
    <n v="31.5"/>
    <n v="189"/>
    <x v="76"/>
    <d v="2025-03-20T00:00:00"/>
    <s v="F"/>
    <x v="0"/>
    <x v="2"/>
    <x v="0"/>
    <x v="3"/>
    <n v="2"/>
    <x v="11"/>
    <x v="2"/>
  </r>
  <r>
    <s v="TX502083"/>
    <x v="6"/>
    <x v="0"/>
    <n v="45.8"/>
    <n v="45.8"/>
    <x v="76"/>
    <d v="2025-03-22T00:00:00"/>
    <s v="O"/>
    <x v="0"/>
    <x v="0"/>
    <x v="0"/>
    <x v="3"/>
    <n v="4"/>
    <x v="11"/>
    <x v="3"/>
  </r>
  <r>
    <s v="TX502084"/>
    <x v="19"/>
    <x v="12"/>
    <n v="12.8"/>
    <n v="51.2"/>
    <x v="76"/>
    <d v="2025-03-25T00:00:00"/>
    <s v="F"/>
    <x v="1"/>
    <x v="1"/>
    <x v="0"/>
    <x v="5"/>
    <n v="7"/>
    <x v="11"/>
    <x v="2"/>
  </r>
  <r>
    <s v="TX502085"/>
    <x v="5"/>
    <x v="2"/>
    <n v="115.3"/>
    <n v="345.9"/>
    <x v="76"/>
    <d v="2025-03-19T00:00:00"/>
    <s v="F"/>
    <x v="2"/>
    <x v="2"/>
    <x v="0"/>
    <x v="6"/>
    <n v="1"/>
    <x v="11"/>
    <x v="2"/>
  </r>
  <r>
    <s v="TX502086"/>
    <x v="5"/>
    <x v="1"/>
    <n v="85"/>
    <n v="170"/>
    <x v="76"/>
    <d v="2025-03-20T00:00:00"/>
    <s v="F"/>
    <x v="1"/>
    <x v="0"/>
    <x v="0"/>
    <x v="7"/>
    <n v="2"/>
    <x v="11"/>
    <x v="2"/>
  </r>
  <r>
    <s v="TX502087"/>
    <x v="8"/>
    <x v="2"/>
    <n v="56.6"/>
    <n v="169.8"/>
    <x v="76"/>
    <d v="2025-03-19T00:00:00"/>
    <s v="F"/>
    <x v="1"/>
    <x v="2"/>
    <x v="0"/>
    <x v="7"/>
    <n v="1"/>
    <x v="11"/>
    <x v="2"/>
  </r>
  <r>
    <s v="TX502088"/>
    <x v="15"/>
    <x v="6"/>
    <n v="46.3"/>
    <n v="1250.0999999999999"/>
    <x v="76"/>
    <d v="2025-03-21T00:00:00"/>
    <s v="M"/>
    <x v="0"/>
    <x v="0"/>
    <x v="0"/>
    <x v="7"/>
    <n v="3"/>
    <x v="11"/>
    <x v="1"/>
  </r>
  <r>
    <s v="TX502089"/>
    <x v="14"/>
    <x v="12"/>
    <n v="23"/>
    <n v="92"/>
    <x v="76"/>
    <d v="2025-03-22T00:00:00"/>
    <s v="M"/>
    <x v="3"/>
    <x v="2"/>
    <x v="0"/>
    <x v="7"/>
    <n v="4"/>
    <x v="11"/>
    <x v="1"/>
  </r>
  <r>
    <s v="TX502090"/>
    <x v="8"/>
    <x v="13"/>
    <n v="42.1"/>
    <n v="252.60000000000002"/>
    <x v="76"/>
    <d v="2025-03-20T00:00:00"/>
    <s v="M"/>
    <x v="4"/>
    <x v="0"/>
    <x v="0"/>
    <x v="8"/>
    <n v="2"/>
    <x v="11"/>
    <x v="1"/>
  </r>
  <r>
    <s v="TX502091"/>
    <x v="5"/>
    <x v="3"/>
    <n v="57.4"/>
    <n v="401.8"/>
    <x v="76"/>
    <d v="2025-03-22T00:00:00"/>
    <s v="F"/>
    <x v="1"/>
    <x v="4"/>
    <x v="0"/>
    <x v="8"/>
    <n v="4"/>
    <x v="11"/>
    <x v="2"/>
  </r>
  <r>
    <s v="TX502092"/>
    <x v="0"/>
    <x v="13"/>
    <n v="13.2"/>
    <n v="79.199999999999989"/>
    <x v="76"/>
    <d v="2025-03-22T00:00:00"/>
    <s v="M"/>
    <x v="2"/>
    <x v="0"/>
    <x v="0"/>
    <x v="8"/>
    <n v="4"/>
    <x v="11"/>
    <x v="1"/>
  </r>
  <r>
    <s v="TX502093"/>
    <x v="6"/>
    <x v="2"/>
    <n v="52.3"/>
    <n v="156.89999999999998"/>
    <x v="76"/>
    <d v="2025-03-19T00:00:00"/>
    <s v="M"/>
    <x v="1"/>
    <x v="0"/>
    <x v="0"/>
    <x v="8"/>
    <n v="1"/>
    <x v="11"/>
    <x v="1"/>
  </r>
  <r>
    <s v="TX502094"/>
    <x v="8"/>
    <x v="1"/>
    <n v="15.7"/>
    <n v="31.4"/>
    <x v="76"/>
    <d v="2025-03-21T00:00:00"/>
    <s v="M"/>
    <x v="1"/>
    <x v="2"/>
    <x v="0"/>
    <x v="8"/>
    <n v="3"/>
    <x v="11"/>
    <x v="1"/>
  </r>
  <r>
    <s v="TX502095"/>
    <x v="7"/>
    <x v="2"/>
    <n v="35"/>
    <n v="105"/>
    <x v="76"/>
    <d v="2025-03-21T00:00:00"/>
    <s v="F"/>
    <x v="1"/>
    <x v="2"/>
    <x v="0"/>
    <x v="9"/>
    <n v="3"/>
    <x v="11"/>
    <x v="2"/>
  </r>
  <r>
    <s v="TX502096"/>
    <x v="4"/>
    <x v="2"/>
    <n v="26.6"/>
    <n v="79.800000000000011"/>
    <x v="76"/>
    <d v="2025-03-18T00:00:00"/>
    <s v="M"/>
    <x v="1"/>
    <x v="2"/>
    <x v="0"/>
    <x v="11"/>
    <n v="0"/>
    <x v="11"/>
    <x v="1"/>
  </r>
  <r>
    <s v="TX502097"/>
    <x v="4"/>
    <x v="8"/>
    <n v="47.9"/>
    <n v="383.2"/>
    <x v="77"/>
    <d v="2025-03-20T00:00:00"/>
    <s v="F"/>
    <x v="3"/>
    <x v="2"/>
    <x v="0"/>
    <x v="20"/>
    <n v="1"/>
    <x v="11"/>
    <x v="2"/>
  </r>
  <r>
    <s v="TX502098"/>
    <x v="5"/>
    <x v="0"/>
    <n v="80.099999999999994"/>
    <n v="80.099999999999994"/>
    <x v="77"/>
    <d v="2025-03-20T00:00:00"/>
    <s v="M"/>
    <x v="2"/>
    <x v="0"/>
    <x v="0"/>
    <x v="21"/>
    <n v="1"/>
    <x v="11"/>
    <x v="1"/>
  </r>
  <r>
    <s v="TX502099"/>
    <x v="6"/>
    <x v="9"/>
    <n v="50.4"/>
    <n v="252"/>
    <x v="77"/>
    <d v="2025-03-20T00:00:00"/>
    <s v="M"/>
    <x v="1"/>
    <x v="2"/>
    <x v="0"/>
    <x v="21"/>
    <n v="1"/>
    <x v="11"/>
    <x v="1"/>
  </r>
  <r>
    <s v="TX502100"/>
    <x v="10"/>
    <x v="3"/>
    <n v="43.3"/>
    <n v="303.09999999999997"/>
    <x v="77"/>
    <d v="2025-03-20T00:00:00"/>
    <s v="M"/>
    <x v="2"/>
    <x v="0"/>
    <x v="0"/>
    <x v="21"/>
    <n v="1"/>
    <x v="11"/>
    <x v="1"/>
  </r>
  <r>
    <s v="TX502101"/>
    <x v="10"/>
    <x v="12"/>
    <n v="57.5"/>
    <n v="230"/>
    <x v="77"/>
    <d v="2025-03-20T00:00:00"/>
    <s v="F"/>
    <x v="1"/>
    <x v="2"/>
    <x v="0"/>
    <x v="1"/>
    <n v="1"/>
    <x v="11"/>
    <x v="2"/>
  </r>
  <r>
    <s v="TX502102"/>
    <x v="9"/>
    <x v="15"/>
    <n v="24.8"/>
    <n v="322.40000000000003"/>
    <x v="77"/>
    <d v="2025-03-20T00:00:00"/>
    <s v="M"/>
    <x v="0"/>
    <x v="0"/>
    <x v="0"/>
    <x v="57"/>
    <n v="1"/>
    <x v="11"/>
    <x v="1"/>
  </r>
  <r>
    <s v="TX502103"/>
    <x v="2"/>
    <x v="11"/>
    <n v="85.7"/>
    <n v="771.30000000000007"/>
    <x v="77"/>
    <d v="2025-03-20T00:00:00"/>
    <s v="F"/>
    <x v="0"/>
    <x v="0"/>
    <x v="0"/>
    <x v="42"/>
    <n v="1"/>
    <x v="11"/>
    <x v="2"/>
  </r>
  <r>
    <s v="TX502104"/>
    <x v="7"/>
    <x v="0"/>
    <n v="47.1"/>
    <n v="47.1"/>
    <x v="77"/>
    <d v="2025-03-21T00:00:00"/>
    <s v="F"/>
    <x v="0"/>
    <x v="0"/>
    <x v="0"/>
    <x v="2"/>
    <n v="2"/>
    <x v="11"/>
    <x v="2"/>
  </r>
  <r>
    <s v="TX502105"/>
    <x v="5"/>
    <x v="7"/>
    <n v="83.2"/>
    <n v="832"/>
    <x v="77"/>
    <d v="2025-03-23T00:00:00"/>
    <s v="F"/>
    <x v="0"/>
    <x v="0"/>
    <x v="0"/>
    <x v="33"/>
    <n v="4"/>
    <x v="11"/>
    <x v="2"/>
  </r>
  <r>
    <s v="TX502106"/>
    <x v="2"/>
    <x v="2"/>
    <n v="157"/>
    <n v="471"/>
    <x v="77"/>
    <d v="2025-03-21T00:00:00"/>
    <s v="F"/>
    <x v="0"/>
    <x v="2"/>
    <x v="0"/>
    <x v="22"/>
    <n v="2"/>
    <x v="11"/>
    <x v="2"/>
  </r>
  <r>
    <s v="TX502107"/>
    <x v="16"/>
    <x v="12"/>
    <n v="33.700000000000003"/>
    <n v="134.80000000000001"/>
    <x v="77"/>
    <d v="2025-03-20T00:00:00"/>
    <s v="M"/>
    <x v="2"/>
    <x v="2"/>
    <x v="0"/>
    <x v="22"/>
    <n v="1"/>
    <x v="11"/>
    <x v="1"/>
  </r>
  <r>
    <s v="TX502108"/>
    <x v="2"/>
    <x v="2"/>
    <n v="60.8"/>
    <n v="182.39999999999998"/>
    <x v="77"/>
    <d v="2025-03-23T00:00:00"/>
    <s v="F"/>
    <x v="1"/>
    <x v="1"/>
    <x v="0"/>
    <x v="3"/>
    <n v="4"/>
    <x v="11"/>
    <x v="2"/>
  </r>
  <r>
    <s v="TX502109"/>
    <x v="7"/>
    <x v="0"/>
    <n v="57.6"/>
    <n v="57.6"/>
    <x v="77"/>
    <d v="2025-03-20T00:00:00"/>
    <s v="M"/>
    <x v="1"/>
    <x v="4"/>
    <x v="0"/>
    <x v="3"/>
    <n v="1"/>
    <x v="11"/>
    <x v="1"/>
  </r>
  <r>
    <s v="TX502110"/>
    <x v="10"/>
    <x v="0"/>
    <n v="32"/>
    <n v="32"/>
    <x v="77"/>
    <d v="2025-03-21T00:00:00"/>
    <s v="M"/>
    <x v="0"/>
    <x v="0"/>
    <x v="0"/>
    <x v="3"/>
    <n v="2"/>
    <x v="11"/>
    <x v="1"/>
  </r>
  <r>
    <s v="TX502111"/>
    <x v="10"/>
    <x v="12"/>
    <n v="23.5"/>
    <n v="94"/>
    <x v="77"/>
    <d v="2025-03-20T00:00:00"/>
    <s v="F"/>
    <x v="0"/>
    <x v="2"/>
    <x v="0"/>
    <x v="3"/>
    <n v="1"/>
    <x v="11"/>
    <x v="2"/>
  </r>
  <r>
    <s v="TX502112"/>
    <x v="12"/>
    <x v="2"/>
    <n v="44.8"/>
    <n v="134.39999999999998"/>
    <x v="77"/>
    <d v="2025-03-20T00:00:00"/>
    <s v="O"/>
    <x v="4"/>
    <x v="0"/>
    <x v="0"/>
    <x v="3"/>
    <n v="1"/>
    <x v="11"/>
    <x v="3"/>
  </r>
  <r>
    <s v="TX502113"/>
    <x v="0"/>
    <x v="8"/>
    <n v="11.7"/>
    <n v="93.6"/>
    <x v="77"/>
    <d v="2025-03-20T00:00:00"/>
    <s v="M"/>
    <x v="2"/>
    <x v="2"/>
    <x v="0"/>
    <x v="3"/>
    <n v="1"/>
    <x v="11"/>
    <x v="1"/>
  </r>
  <r>
    <s v="TX502114"/>
    <x v="7"/>
    <x v="1"/>
    <n v="38.799999999999997"/>
    <n v="77.599999999999994"/>
    <x v="77"/>
    <d v="2025-03-22T00:00:00"/>
    <s v="F"/>
    <x v="2"/>
    <x v="0"/>
    <x v="0"/>
    <x v="3"/>
    <n v="3"/>
    <x v="11"/>
    <x v="2"/>
  </r>
  <r>
    <s v="TX502115"/>
    <x v="5"/>
    <x v="21"/>
    <n v="86.9"/>
    <n v="1216.6000000000001"/>
    <x v="77"/>
    <d v="2025-03-24T00:00:00"/>
    <s v="F"/>
    <x v="1"/>
    <x v="0"/>
    <x v="0"/>
    <x v="3"/>
    <n v="5"/>
    <x v="11"/>
    <x v="2"/>
  </r>
  <r>
    <s v="TX502116"/>
    <x v="8"/>
    <x v="0"/>
    <n v="18.3"/>
    <n v="18.3"/>
    <x v="77"/>
    <d v="2025-03-20T00:00:00"/>
    <s v="F"/>
    <x v="0"/>
    <x v="0"/>
    <x v="0"/>
    <x v="3"/>
    <n v="1"/>
    <x v="11"/>
    <x v="2"/>
  </r>
  <r>
    <s v="TX502117"/>
    <x v="5"/>
    <x v="0"/>
    <n v="47.5"/>
    <n v="47.5"/>
    <x v="77"/>
    <d v="2025-03-23T00:00:00"/>
    <s v="M"/>
    <x v="4"/>
    <x v="2"/>
    <x v="0"/>
    <x v="3"/>
    <n v="4"/>
    <x v="11"/>
    <x v="1"/>
  </r>
  <r>
    <s v="TX502118"/>
    <x v="1"/>
    <x v="1"/>
    <n v="78.599999999999994"/>
    <n v="157.19999999999999"/>
    <x v="77"/>
    <d v="2025-03-20T00:00:00"/>
    <s v="M"/>
    <x v="2"/>
    <x v="2"/>
    <x v="0"/>
    <x v="3"/>
    <n v="1"/>
    <x v="11"/>
    <x v="1"/>
  </r>
  <r>
    <s v="TX502119"/>
    <x v="6"/>
    <x v="12"/>
    <n v="87.3"/>
    <n v="349.2"/>
    <x v="77"/>
    <d v="2025-03-20T00:00:00"/>
    <s v="M"/>
    <x v="0"/>
    <x v="0"/>
    <x v="0"/>
    <x v="3"/>
    <n v="1"/>
    <x v="11"/>
    <x v="1"/>
  </r>
  <r>
    <s v="TX502120"/>
    <x v="9"/>
    <x v="1"/>
    <n v="63.2"/>
    <n v="126.4"/>
    <x v="77"/>
    <d v="2025-03-19T00:00:00"/>
    <s v="M"/>
    <x v="4"/>
    <x v="1"/>
    <x v="0"/>
    <x v="3"/>
    <n v="0"/>
    <x v="11"/>
    <x v="1"/>
  </r>
  <r>
    <s v="TX502121"/>
    <x v="5"/>
    <x v="9"/>
    <n v="33.700000000000003"/>
    <n v="168.5"/>
    <x v="77"/>
    <d v="2025-03-20T00:00:00"/>
    <s v="F"/>
    <x v="0"/>
    <x v="0"/>
    <x v="0"/>
    <x v="3"/>
    <n v="1"/>
    <x v="11"/>
    <x v="2"/>
  </r>
  <r>
    <s v="TX502122"/>
    <x v="2"/>
    <x v="2"/>
    <n v="107.4"/>
    <n v="322.20000000000005"/>
    <x v="77"/>
    <d v="2025-04-01T00:00:00"/>
    <s v="F"/>
    <x v="1"/>
    <x v="2"/>
    <x v="0"/>
    <x v="3"/>
    <n v="13"/>
    <x v="11"/>
    <x v="2"/>
  </r>
  <r>
    <s v="TX502123"/>
    <x v="4"/>
    <x v="12"/>
    <n v="22.2"/>
    <n v="88.8"/>
    <x v="77"/>
    <d v="2025-03-20T00:00:00"/>
    <s v=""/>
    <x v="1"/>
    <x v="2"/>
    <x v="0"/>
    <x v="24"/>
    <n v="1"/>
    <x v="11"/>
    <x v="0"/>
  </r>
  <r>
    <s v="TX502124"/>
    <x v="18"/>
    <x v="2"/>
    <n v="52.8"/>
    <n v="158.39999999999998"/>
    <x v="77"/>
    <d v="2025-03-20T00:00:00"/>
    <s v="M"/>
    <x v="3"/>
    <x v="2"/>
    <x v="0"/>
    <x v="24"/>
    <n v="1"/>
    <x v="11"/>
    <x v="1"/>
  </r>
  <r>
    <s v="TX502125"/>
    <x v="8"/>
    <x v="2"/>
    <n v="41.5"/>
    <n v="124.5"/>
    <x v="77"/>
    <d v="2025-03-22T00:00:00"/>
    <s v="F"/>
    <x v="0"/>
    <x v="0"/>
    <x v="0"/>
    <x v="25"/>
    <n v="3"/>
    <x v="11"/>
    <x v="2"/>
  </r>
  <r>
    <s v="TX502126"/>
    <x v="12"/>
    <x v="8"/>
    <n v="103.5"/>
    <n v="828"/>
    <x v="77"/>
    <d v="2025-03-22T00:00:00"/>
    <s v="F"/>
    <x v="0"/>
    <x v="2"/>
    <x v="0"/>
    <x v="23"/>
    <n v="3"/>
    <x v="11"/>
    <x v="2"/>
  </r>
  <r>
    <s v="TX502127"/>
    <x v="4"/>
    <x v="21"/>
    <n v="37.5"/>
    <n v="525"/>
    <x v="77"/>
    <d v="2025-03-19T00:00:00"/>
    <s v="F"/>
    <x v="1"/>
    <x v="2"/>
    <x v="0"/>
    <x v="6"/>
    <n v="0"/>
    <x v="11"/>
    <x v="2"/>
  </r>
  <r>
    <s v="TX502128"/>
    <x v="15"/>
    <x v="8"/>
    <n v="44.4"/>
    <n v="355.2"/>
    <x v="77"/>
    <d v="2025-03-25T00:00:00"/>
    <s v="F"/>
    <x v="3"/>
    <x v="2"/>
    <x v="0"/>
    <x v="7"/>
    <n v="6"/>
    <x v="11"/>
    <x v="2"/>
  </r>
  <r>
    <s v="TX502129"/>
    <x v="8"/>
    <x v="2"/>
    <n v="26.2"/>
    <n v="78.599999999999994"/>
    <x v="77"/>
    <d v="2025-03-20T00:00:00"/>
    <s v="M"/>
    <x v="0"/>
    <x v="0"/>
    <x v="0"/>
    <x v="8"/>
    <n v="1"/>
    <x v="11"/>
    <x v="1"/>
  </r>
  <r>
    <s v="TX502130"/>
    <x v="1"/>
    <x v="3"/>
    <n v="32.200000000000003"/>
    <n v="225.40000000000003"/>
    <x v="77"/>
    <d v="2025-03-20T00:00:00"/>
    <s v="F"/>
    <x v="1"/>
    <x v="2"/>
    <x v="0"/>
    <x v="8"/>
    <n v="1"/>
    <x v="11"/>
    <x v="2"/>
  </r>
  <r>
    <s v="TX502131"/>
    <x v="8"/>
    <x v="0"/>
    <n v="17.399999999999999"/>
    <n v="17.399999999999999"/>
    <x v="77"/>
    <d v="2025-03-23T00:00:00"/>
    <s v=""/>
    <x v="2"/>
    <x v="1"/>
    <x v="0"/>
    <x v="8"/>
    <n v="4"/>
    <x v="11"/>
    <x v="0"/>
  </r>
  <r>
    <s v="TX502132"/>
    <x v="8"/>
    <x v="13"/>
    <n v="72.3"/>
    <n v="433.79999999999995"/>
    <x v="77"/>
    <d v="2025-03-22T00:00:00"/>
    <s v="F"/>
    <x v="0"/>
    <x v="0"/>
    <x v="0"/>
    <x v="8"/>
    <n v="3"/>
    <x v="11"/>
    <x v="2"/>
  </r>
  <r>
    <s v="TX502133"/>
    <x v="8"/>
    <x v="5"/>
    <n v="24.3"/>
    <n v="267.3"/>
    <x v="77"/>
    <d v="2025-03-20T00:00:00"/>
    <s v="M"/>
    <x v="0"/>
    <x v="0"/>
    <x v="0"/>
    <x v="8"/>
    <n v="1"/>
    <x v="11"/>
    <x v="1"/>
  </r>
  <r>
    <s v="TX502134"/>
    <x v="13"/>
    <x v="2"/>
    <n v="49.1"/>
    <n v="147.30000000000001"/>
    <x v="77"/>
    <d v="2025-03-25T00:00:00"/>
    <s v="M"/>
    <x v="2"/>
    <x v="4"/>
    <x v="0"/>
    <x v="8"/>
    <n v="6"/>
    <x v="11"/>
    <x v="1"/>
  </r>
  <r>
    <s v="TX502135"/>
    <x v="2"/>
    <x v="7"/>
    <n v="234.7"/>
    <n v="2347"/>
    <x v="77"/>
    <d v="2025-03-20T00:00:00"/>
    <s v="M"/>
    <x v="3"/>
    <x v="1"/>
    <x v="0"/>
    <x v="8"/>
    <n v="1"/>
    <x v="11"/>
    <x v="1"/>
  </r>
  <r>
    <s v="TX502136"/>
    <x v="3"/>
    <x v="9"/>
    <n v="76.099999999999994"/>
    <n v="380.5"/>
    <x v="77"/>
    <d v="2025-03-21T00:00:00"/>
    <s v="M"/>
    <x v="1"/>
    <x v="1"/>
    <x v="0"/>
    <x v="17"/>
    <n v="2"/>
    <x v="11"/>
    <x v="1"/>
  </r>
  <r>
    <s v="TX502137"/>
    <x v="1"/>
    <x v="2"/>
    <n v="93.9"/>
    <n v="281.70000000000005"/>
    <x v="77"/>
    <d v="2025-03-20T00:00:00"/>
    <s v="M"/>
    <x v="1"/>
    <x v="4"/>
    <x v="0"/>
    <x v="11"/>
    <n v="1"/>
    <x v="11"/>
    <x v="1"/>
  </r>
  <r>
    <s v="TX502138"/>
    <x v="2"/>
    <x v="12"/>
    <n v="187"/>
    <n v="748"/>
    <x v="78"/>
    <d v="2025-03-23T00:00:00"/>
    <s v="M"/>
    <x v="0"/>
    <x v="0"/>
    <x v="0"/>
    <x v="11"/>
    <n v="3"/>
    <x v="11"/>
    <x v="1"/>
  </r>
  <r>
    <s v="TX502139"/>
    <x v="8"/>
    <x v="1"/>
    <n v="18"/>
    <n v="36"/>
    <x v="78"/>
    <d v="2025-03-21T00:00:00"/>
    <s v="F"/>
    <x v="1"/>
    <x v="2"/>
    <x v="0"/>
    <x v="53"/>
    <n v="1"/>
    <x v="11"/>
    <x v="2"/>
  </r>
  <r>
    <s v="TX502140"/>
    <x v="4"/>
    <x v="0"/>
    <n v="24.4"/>
    <n v="24.4"/>
    <x v="78"/>
    <d v="2025-03-21T00:00:00"/>
    <s v="F"/>
    <x v="4"/>
    <x v="2"/>
    <x v="0"/>
    <x v="21"/>
    <n v="1"/>
    <x v="11"/>
    <x v="2"/>
  </r>
  <r>
    <s v="TX502141"/>
    <x v="10"/>
    <x v="1"/>
    <n v="38.799999999999997"/>
    <n v="77.599999999999994"/>
    <x v="78"/>
    <d v="2025-03-21T00:00:00"/>
    <s v="M"/>
    <x v="4"/>
    <x v="1"/>
    <x v="0"/>
    <x v="3"/>
    <n v="1"/>
    <x v="11"/>
    <x v="1"/>
  </r>
  <r>
    <s v="TX502142"/>
    <x v="3"/>
    <x v="0"/>
    <n v="59.7"/>
    <n v="59.7"/>
    <x v="78"/>
    <d v="2025-03-23T00:00:00"/>
    <s v="M"/>
    <x v="3"/>
    <x v="0"/>
    <x v="0"/>
    <x v="3"/>
    <n v="3"/>
    <x v="11"/>
    <x v="1"/>
  </r>
  <r>
    <s v="TX502143"/>
    <x v="7"/>
    <x v="0"/>
    <n v="31.2"/>
    <n v="31.2"/>
    <x v="78"/>
    <d v="2025-03-21T00:00:00"/>
    <s v="M"/>
    <x v="1"/>
    <x v="2"/>
    <x v="0"/>
    <x v="3"/>
    <n v="1"/>
    <x v="11"/>
    <x v="1"/>
  </r>
  <r>
    <s v="TX502144"/>
    <x v="0"/>
    <x v="0"/>
    <n v="16.8"/>
    <n v="16.8"/>
    <x v="78"/>
    <d v="2025-03-21T00:00:00"/>
    <s v="F"/>
    <x v="2"/>
    <x v="1"/>
    <x v="0"/>
    <x v="3"/>
    <n v="1"/>
    <x v="11"/>
    <x v="2"/>
  </r>
  <r>
    <s v="TX502145"/>
    <x v="8"/>
    <x v="0"/>
    <n v="46"/>
    <n v="46"/>
    <x v="78"/>
    <d v="2025-03-21T00:00:00"/>
    <s v="M"/>
    <x v="0"/>
    <x v="0"/>
    <x v="0"/>
    <x v="3"/>
    <n v="1"/>
    <x v="11"/>
    <x v="1"/>
  </r>
  <r>
    <s v="TX502146"/>
    <x v="9"/>
    <x v="8"/>
    <n v="42.2"/>
    <n v="337.6"/>
    <x v="78"/>
    <d v="2025-03-23T00:00:00"/>
    <s v="F"/>
    <x v="3"/>
    <x v="2"/>
    <x v="0"/>
    <x v="3"/>
    <n v="3"/>
    <x v="11"/>
    <x v="2"/>
  </r>
  <r>
    <s v="TX502147"/>
    <x v="1"/>
    <x v="2"/>
    <n v="71.5"/>
    <n v="214.5"/>
    <x v="78"/>
    <d v="2025-04-03T00:00:00"/>
    <s v="F"/>
    <x v="0"/>
    <x v="0"/>
    <x v="0"/>
    <x v="3"/>
    <n v="14"/>
    <x v="11"/>
    <x v="2"/>
  </r>
  <r>
    <s v="TX502148"/>
    <x v="1"/>
    <x v="1"/>
    <n v="76.599999999999994"/>
    <n v="153.19999999999999"/>
    <x v="78"/>
    <d v="2025-03-20T00:00:00"/>
    <s v="M"/>
    <x v="0"/>
    <x v="2"/>
    <x v="0"/>
    <x v="3"/>
    <n v="0"/>
    <x v="11"/>
    <x v="1"/>
  </r>
  <r>
    <s v="TX502149"/>
    <x v="12"/>
    <x v="1"/>
    <n v="87.3"/>
    <n v="174.6"/>
    <x v="78"/>
    <d v="2025-03-28T00:00:00"/>
    <s v="F"/>
    <x v="3"/>
    <x v="2"/>
    <x v="0"/>
    <x v="3"/>
    <n v="8"/>
    <x v="11"/>
    <x v="2"/>
  </r>
  <r>
    <s v="TX502150"/>
    <x v="1"/>
    <x v="0"/>
    <n v="63"/>
    <n v="63"/>
    <x v="78"/>
    <d v="2025-03-23T00:00:00"/>
    <s v="M"/>
    <x v="3"/>
    <x v="0"/>
    <x v="0"/>
    <x v="3"/>
    <n v="3"/>
    <x v="11"/>
    <x v="1"/>
  </r>
  <r>
    <s v="TX502151"/>
    <x v="8"/>
    <x v="1"/>
    <n v="41.7"/>
    <n v="83.4"/>
    <x v="78"/>
    <d v="2025-03-21T00:00:00"/>
    <s v="F"/>
    <x v="4"/>
    <x v="1"/>
    <x v="0"/>
    <x v="43"/>
    <n v="1"/>
    <x v="11"/>
    <x v="2"/>
  </r>
  <r>
    <s v="TX502152"/>
    <x v="6"/>
    <x v="1"/>
    <n v="76.099999999999994"/>
    <n v="152.19999999999999"/>
    <x v="78"/>
    <d v="2025-03-20T00:00:00"/>
    <s v="F"/>
    <x v="4"/>
    <x v="2"/>
    <x v="0"/>
    <x v="16"/>
    <n v="0"/>
    <x v="11"/>
    <x v="2"/>
  </r>
  <r>
    <s v="TX502153"/>
    <x v="13"/>
    <x v="1"/>
    <n v="28.5"/>
    <n v="57"/>
    <x v="78"/>
    <d v="2025-03-21T00:00:00"/>
    <s v="F"/>
    <x v="0"/>
    <x v="2"/>
    <x v="0"/>
    <x v="4"/>
    <n v="1"/>
    <x v="11"/>
    <x v="2"/>
  </r>
  <r>
    <s v="TX502154"/>
    <x v="0"/>
    <x v="12"/>
    <n v="32.1"/>
    <n v="128.4"/>
    <x v="78"/>
    <d v="2025-03-21T00:00:00"/>
    <s v="F"/>
    <x v="1"/>
    <x v="2"/>
    <x v="0"/>
    <x v="25"/>
    <n v="1"/>
    <x v="11"/>
    <x v="2"/>
  </r>
  <r>
    <s v="TX502155"/>
    <x v="4"/>
    <x v="2"/>
    <n v="39"/>
    <n v="117"/>
    <x v="78"/>
    <d v="2025-03-23T00:00:00"/>
    <s v="M"/>
    <x v="1"/>
    <x v="2"/>
    <x v="0"/>
    <x v="25"/>
    <n v="3"/>
    <x v="11"/>
    <x v="1"/>
  </r>
  <r>
    <s v="TX502156"/>
    <x v="6"/>
    <x v="0"/>
    <n v="78.5"/>
    <n v="78.5"/>
    <x v="78"/>
    <d v="2025-03-21T00:00:00"/>
    <s v="M"/>
    <x v="1"/>
    <x v="0"/>
    <x v="0"/>
    <x v="6"/>
    <n v="1"/>
    <x v="11"/>
    <x v="1"/>
  </r>
  <r>
    <s v="TX502157"/>
    <x v="4"/>
    <x v="9"/>
    <n v="49.7"/>
    <n v="248.5"/>
    <x v="78"/>
    <d v="2025-03-22T00:00:00"/>
    <s v="F"/>
    <x v="0"/>
    <x v="0"/>
    <x v="0"/>
    <x v="6"/>
    <n v="2"/>
    <x v="11"/>
    <x v="2"/>
  </r>
  <r>
    <s v="TX502158"/>
    <x v="1"/>
    <x v="12"/>
    <n v="68.400000000000006"/>
    <n v="273.60000000000002"/>
    <x v="78"/>
    <d v="2025-03-21T00:00:00"/>
    <s v="F"/>
    <x v="2"/>
    <x v="2"/>
    <x v="0"/>
    <x v="7"/>
    <n v="1"/>
    <x v="11"/>
    <x v="2"/>
  </r>
  <r>
    <s v="TX502159"/>
    <x v="3"/>
    <x v="1"/>
    <n v="72.900000000000006"/>
    <n v="145.80000000000001"/>
    <x v="78"/>
    <d v="2025-03-23T00:00:00"/>
    <s v=""/>
    <x v="0"/>
    <x v="2"/>
    <x v="0"/>
    <x v="7"/>
    <n v="3"/>
    <x v="11"/>
    <x v="0"/>
  </r>
  <r>
    <s v="TX502160"/>
    <x v="5"/>
    <x v="15"/>
    <n v="30.3"/>
    <n v="393.90000000000003"/>
    <x v="78"/>
    <d v="2025-03-21T00:00:00"/>
    <s v="M"/>
    <x v="4"/>
    <x v="0"/>
    <x v="0"/>
    <x v="7"/>
    <n v="1"/>
    <x v="11"/>
    <x v="1"/>
  </r>
  <r>
    <s v="TX502161"/>
    <x v="6"/>
    <x v="5"/>
    <n v="57.9"/>
    <n v="636.9"/>
    <x v="78"/>
    <d v="2025-03-21T00:00:00"/>
    <s v="F"/>
    <x v="0"/>
    <x v="0"/>
    <x v="0"/>
    <x v="8"/>
    <n v="1"/>
    <x v="11"/>
    <x v="2"/>
  </r>
  <r>
    <s v="TX502162"/>
    <x v="1"/>
    <x v="0"/>
    <n v="96.7"/>
    <n v="96.7"/>
    <x v="78"/>
    <d v="2025-03-21T00:00:00"/>
    <s v="M"/>
    <x v="0"/>
    <x v="0"/>
    <x v="0"/>
    <x v="8"/>
    <n v="1"/>
    <x v="11"/>
    <x v="1"/>
  </r>
  <r>
    <s v="TX502163"/>
    <x v="8"/>
    <x v="4"/>
    <n v="27.6"/>
    <n v="331.20000000000005"/>
    <x v="78"/>
    <d v="2025-03-22T00:00:00"/>
    <s v="M"/>
    <x v="2"/>
    <x v="2"/>
    <x v="0"/>
    <x v="8"/>
    <n v="2"/>
    <x v="11"/>
    <x v="1"/>
  </r>
  <r>
    <s v="TX502164"/>
    <x v="6"/>
    <x v="12"/>
    <n v="64.7"/>
    <n v="258.8"/>
    <x v="78"/>
    <d v="2025-03-20T00:00:00"/>
    <s v="M"/>
    <x v="3"/>
    <x v="2"/>
    <x v="0"/>
    <x v="8"/>
    <n v="0"/>
    <x v="11"/>
    <x v="1"/>
  </r>
  <r>
    <s v="TX502165"/>
    <x v="10"/>
    <x v="13"/>
    <n v="30.5"/>
    <n v="183"/>
    <x v="78"/>
    <d v="2025-03-21T00:00:00"/>
    <s v="M"/>
    <x v="4"/>
    <x v="0"/>
    <x v="0"/>
    <x v="8"/>
    <n v="1"/>
    <x v="11"/>
    <x v="1"/>
  </r>
  <r>
    <s v="TX502166"/>
    <x v="6"/>
    <x v="47"/>
    <n v="106"/>
    <n v="7420"/>
    <x v="79"/>
    <d v="2025-03-23T00:00:00"/>
    <s v="M"/>
    <x v="4"/>
    <x v="2"/>
    <x v="0"/>
    <x v="8"/>
    <n v="2"/>
    <x v="11"/>
    <x v="1"/>
  </r>
  <r>
    <s v="TX502167"/>
    <x v="12"/>
    <x v="9"/>
    <n v="76.8"/>
    <n v="384"/>
    <x v="79"/>
    <d v="2025-03-27T00:00:00"/>
    <s v=""/>
    <x v="1"/>
    <x v="1"/>
    <x v="0"/>
    <x v="18"/>
    <n v="6"/>
    <x v="11"/>
    <x v="0"/>
  </r>
  <r>
    <s v="TX502168"/>
    <x v="6"/>
    <x v="1"/>
    <n v="80.400000000000006"/>
    <n v="160.80000000000001"/>
    <x v="79"/>
    <d v="2025-03-22T00:00:00"/>
    <s v="F"/>
    <x v="2"/>
    <x v="0"/>
    <x v="0"/>
    <x v="13"/>
    <n v="1"/>
    <x v="11"/>
    <x v="2"/>
  </r>
  <r>
    <s v="TX502169"/>
    <x v="6"/>
    <x v="12"/>
    <n v="69.099999999999994"/>
    <n v="276.39999999999998"/>
    <x v="79"/>
    <d v="2025-03-22T00:00:00"/>
    <s v="M"/>
    <x v="1"/>
    <x v="2"/>
    <x v="0"/>
    <x v="21"/>
    <n v="1"/>
    <x v="11"/>
    <x v="1"/>
  </r>
  <r>
    <s v="TX502170"/>
    <x v="18"/>
    <x v="1"/>
    <n v="76.400000000000006"/>
    <n v="152.80000000000001"/>
    <x v="79"/>
    <d v="2025-03-21T00:00:00"/>
    <s v="M"/>
    <x v="3"/>
    <x v="0"/>
    <x v="0"/>
    <x v="21"/>
    <n v="0"/>
    <x v="11"/>
    <x v="1"/>
  </r>
  <r>
    <s v="TX502171"/>
    <x v="2"/>
    <x v="1"/>
    <n v="61.3"/>
    <n v="122.6"/>
    <x v="79"/>
    <d v="2025-03-22T00:00:00"/>
    <s v="F"/>
    <x v="1"/>
    <x v="1"/>
    <x v="0"/>
    <x v="21"/>
    <n v="1"/>
    <x v="11"/>
    <x v="2"/>
  </r>
  <r>
    <s v="TX502172"/>
    <x v="7"/>
    <x v="0"/>
    <n v="58"/>
    <n v="58"/>
    <x v="79"/>
    <d v="2025-03-22T00:00:00"/>
    <s v="M"/>
    <x v="3"/>
    <x v="1"/>
    <x v="0"/>
    <x v="1"/>
    <n v="1"/>
    <x v="11"/>
    <x v="1"/>
  </r>
  <r>
    <s v="TX502173"/>
    <x v="2"/>
    <x v="8"/>
    <n v="102.3"/>
    <n v="818.4"/>
    <x v="79"/>
    <d v="2025-03-23T00:00:00"/>
    <s v="M"/>
    <x v="2"/>
    <x v="0"/>
    <x v="0"/>
    <x v="42"/>
    <n v="2"/>
    <x v="11"/>
    <x v="1"/>
  </r>
  <r>
    <s v="TX502174"/>
    <x v="19"/>
    <x v="1"/>
    <n v="13.8"/>
    <n v="27.6"/>
    <x v="79"/>
    <d v="2025-03-22T00:00:00"/>
    <s v="F"/>
    <x v="4"/>
    <x v="2"/>
    <x v="0"/>
    <x v="2"/>
    <n v="1"/>
    <x v="11"/>
    <x v="2"/>
  </r>
  <r>
    <s v="TX502175"/>
    <x v="8"/>
    <x v="2"/>
    <n v="33.299999999999997"/>
    <n v="99.899999999999991"/>
    <x v="79"/>
    <d v="2025-03-24T00:00:00"/>
    <s v="F"/>
    <x v="2"/>
    <x v="0"/>
    <x v="0"/>
    <x v="22"/>
    <n v="3"/>
    <x v="11"/>
    <x v="2"/>
  </r>
  <r>
    <s v="TX502176"/>
    <x v="10"/>
    <x v="0"/>
    <n v="27.4"/>
    <n v="27.4"/>
    <x v="79"/>
    <d v="2025-03-24T00:00:00"/>
    <s v="M"/>
    <x v="0"/>
    <x v="2"/>
    <x v="0"/>
    <x v="22"/>
    <n v="3"/>
    <x v="11"/>
    <x v="1"/>
  </r>
  <r>
    <s v="TX502177"/>
    <x v="14"/>
    <x v="1"/>
    <n v="25.6"/>
    <n v="51.2"/>
    <x v="79"/>
    <d v="2025-03-22T00:00:00"/>
    <s v="F"/>
    <x v="1"/>
    <x v="1"/>
    <x v="0"/>
    <x v="3"/>
    <n v="1"/>
    <x v="11"/>
    <x v="2"/>
  </r>
  <r>
    <s v="TX502178"/>
    <x v="13"/>
    <x v="0"/>
    <n v="58.4"/>
    <n v="58.4"/>
    <x v="79"/>
    <d v="2025-03-22T00:00:00"/>
    <s v="F"/>
    <x v="2"/>
    <x v="2"/>
    <x v="0"/>
    <x v="3"/>
    <n v="1"/>
    <x v="11"/>
    <x v="2"/>
  </r>
  <r>
    <s v="TX502179"/>
    <x v="11"/>
    <x v="17"/>
    <n v="27"/>
    <n v="810"/>
    <x v="79"/>
    <d v="2025-03-22T00:00:00"/>
    <s v="F"/>
    <x v="4"/>
    <x v="0"/>
    <x v="0"/>
    <x v="3"/>
    <n v="1"/>
    <x v="11"/>
    <x v="2"/>
  </r>
  <r>
    <s v="TX502180"/>
    <x v="0"/>
    <x v="12"/>
    <n v="14.2"/>
    <n v="56.8"/>
    <x v="79"/>
    <d v="2025-03-22T00:00:00"/>
    <s v="M"/>
    <x v="0"/>
    <x v="2"/>
    <x v="0"/>
    <x v="3"/>
    <n v="1"/>
    <x v="11"/>
    <x v="1"/>
  </r>
  <r>
    <s v="TX502181"/>
    <x v="7"/>
    <x v="1"/>
    <n v="68"/>
    <n v="136"/>
    <x v="79"/>
    <d v="2025-03-31T00:00:00"/>
    <s v="M"/>
    <x v="2"/>
    <x v="1"/>
    <x v="0"/>
    <x v="3"/>
    <n v="10"/>
    <x v="11"/>
    <x v="1"/>
  </r>
  <r>
    <s v="TX502182"/>
    <x v="8"/>
    <x v="0"/>
    <n v="30.7"/>
    <n v="30.7"/>
    <x v="79"/>
    <d v="2025-03-22T00:00:00"/>
    <s v="M"/>
    <x v="0"/>
    <x v="0"/>
    <x v="0"/>
    <x v="3"/>
    <n v="1"/>
    <x v="11"/>
    <x v="1"/>
  </r>
  <r>
    <s v="TX502183"/>
    <x v="17"/>
    <x v="15"/>
    <n v="51.6"/>
    <n v="670.80000000000007"/>
    <x v="79"/>
    <d v="2025-03-24T00:00:00"/>
    <s v="O"/>
    <x v="1"/>
    <x v="2"/>
    <x v="0"/>
    <x v="3"/>
    <n v="3"/>
    <x v="11"/>
    <x v="3"/>
  </r>
  <r>
    <s v="TX502184"/>
    <x v="8"/>
    <x v="2"/>
    <n v="20.6"/>
    <n v="61.800000000000004"/>
    <x v="79"/>
    <d v="2025-03-25T00:00:00"/>
    <s v="F"/>
    <x v="4"/>
    <x v="2"/>
    <x v="0"/>
    <x v="3"/>
    <n v="4"/>
    <x v="11"/>
    <x v="2"/>
  </r>
  <r>
    <s v="TX502185"/>
    <x v="8"/>
    <x v="0"/>
    <n v="24.8"/>
    <n v="24.8"/>
    <x v="79"/>
    <d v="2025-03-22T00:00:00"/>
    <s v="M"/>
    <x v="4"/>
    <x v="0"/>
    <x v="0"/>
    <x v="3"/>
    <n v="1"/>
    <x v="11"/>
    <x v="1"/>
  </r>
  <r>
    <s v="TX502186"/>
    <x v="0"/>
    <x v="3"/>
    <n v="11.2"/>
    <n v="78.399999999999991"/>
    <x v="79"/>
    <d v="2025-03-24T00:00:00"/>
    <s v="M"/>
    <x v="1"/>
    <x v="0"/>
    <x v="0"/>
    <x v="3"/>
    <n v="3"/>
    <x v="11"/>
    <x v="1"/>
  </r>
  <r>
    <s v="TX502187"/>
    <x v="11"/>
    <x v="1"/>
    <n v="51.2"/>
    <n v="102.4"/>
    <x v="79"/>
    <d v="2025-03-22T00:00:00"/>
    <s v="F"/>
    <x v="1"/>
    <x v="2"/>
    <x v="0"/>
    <x v="3"/>
    <n v="1"/>
    <x v="11"/>
    <x v="2"/>
  </r>
  <r>
    <s v="TX502188"/>
    <x v="7"/>
    <x v="13"/>
    <n v="90.5"/>
    <n v="543"/>
    <x v="79"/>
    <d v="2025-03-22T00:00:00"/>
    <s v="F"/>
    <x v="1"/>
    <x v="4"/>
    <x v="0"/>
    <x v="3"/>
    <n v="1"/>
    <x v="11"/>
    <x v="2"/>
  </r>
  <r>
    <s v="TX502189"/>
    <x v="1"/>
    <x v="1"/>
    <n v="42.4"/>
    <n v="84.8"/>
    <x v="79"/>
    <d v="2025-03-22T00:00:00"/>
    <s v="M"/>
    <x v="1"/>
    <x v="2"/>
    <x v="0"/>
    <x v="4"/>
    <n v="1"/>
    <x v="11"/>
    <x v="1"/>
  </r>
  <r>
    <s v="TX502190"/>
    <x v="1"/>
    <x v="1"/>
    <n v="38.200000000000003"/>
    <n v="76.400000000000006"/>
    <x v="79"/>
    <d v="2025-03-22T00:00:00"/>
    <s v="M"/>
    <x v="0"/>
    <x v="0"/>
    <x v="0"/>
    <x v="5"/>
    <n v="1"/>
    <x v="11"/>
    <x v="1"/>
  </r>
  <r>
    <s v="TX502191"/>
    <x v="2"/>
    <x v="11"/>
    <n v="121.3"/>
    <n v="1091.7"/>
    <x v="79"/>
    <d v="2025-03-26T00:00:00"/>
    <s v="M"/>
    <x v="0"/>
    <x v="0"/>
    <x v="0"/>
    <x v="6"/>
    <n v="5"/>
    <x v="11"/>
    <x v="1"/>
  </r>
  <r>
    <s v="TX502192"/>
    <x v="6"/>
    <x v="1"/>
    <n v="46.9"/>
    <n v="93.8"/>
    <x v="79"/>
    <d v="2025-03-28T00:00:00"/>
    <s v="M"/>
    <x v="0"/>
    <x v="0"/>
    <x v="0"/>
    <x v="8"/>
    <n v="7"/>
    <x v="11"/>
    <x v="1"/>
  </r>
  <r>
    <s v="TX502193"/>
    <x v="10"/>
    <x v="0"/>
    <n v="55.3"/>
    <n v="55.3"/>
    <x v="79"/>
    <d v="2025-03-23T00:00:00"/>
    <s v="M"/>
    <x v="0"/>
    <x v="0"/>
    <x v="0"/>
    <x v="8"/>
    <n v="2"/>
    <x v="11"/>
    <x v="1"/>
  </r>
  <r>
    <s v="TX502194"/>
    <x v="2"/>
    <x v="2"/>
    <n v="70.599999999999994"/>
    <n v="211.79999999999998"/>
    <x v="80"/>
    <d v="2025-03-22T00:00:00"/>
    <s v="F"/>
    <x v="0"/>
    <x v="1"/>
    <x v="0"/>
    <x v="8"/>
    <n v="0"/>
    <x v="11"/>
    <x v="2"/>
  </r>
  <r>
    <s v="TX502195"/>
    <x v="14"/>
    <x v="12"/>
    <n v="26.1"/>
    <n v="104.4"/>
    <x v="80"/>
    <d v="2025-03-24T00:00:00"/>
    <s v="M"/>
    <x v="0"/>
    <x v="0"/>
    <x v="0"/>
    <x v="8"/>
    <n v="2"/>
    <x v="11"/>
    <x v="1"/>
  </r>
  <r>
    <s v="TX502196"/>
    <x v="9"/>
    <x v="5"/>
    <n v="34.5"/>
    <n v="379.5"/>
    <x v="80"/>
    <d v="2025-03-26T00:00:00"/>
    <s v="M"/>
    <x v="2"/>
    <x v="0"/>
    <x v="0"/>
    <x v="17"/>
    <n v="4"/>
    <x v="11"/>
    <x v="1"/>
  </r>
  <r>
    <s v="TX502197"/>
    <x v="1"/>
    <x v="1"/>
    <n v="64.2"/>
    <n v="128.4"/>
    <x v="80"/>
    <d v="2025-03-23T00:00:00"/>
    <s v="F"/>
    <x v="0"/>
    <x v="1"/>
    <x v="0"/>
    <x v="17"/>
    <n v="1"/>
    <x v="11"/>
    <x v="2"/>
  </r>
  <r>
    <s v="TX502198"/>
    <x v="2"/>
    <x v="12"/>
    <n v="145.69999999999999"/>
    <n v="582.79999999999995"/>
    <x v="80"/>
    <d v="2025-03-23T00:00:00"/>
    <s v="F"/>
    <x v="0"/>
    <x v="4"/>
    <x v="0"/>
    <x v="17"/>
    <n v="1"/>
    <x v="11"/>
    <x v="2"/>
  </r>
  <r>
    <s v="TX502199"/>
    <x v="12"/>
    <x v="1"/>
    <n v="78.5"/>
    <n v="157"/>
    <x v="80"/>
    <d v="2025-03-23T00:00:00"/>
    <s v="M"/>
    <x v="2"/>
    <x v="0"/>
    <x v="0"/>
    <x v="26"/>
    <n v="1"/>
    <x v="11"/>
    <x v="1"/>
  </r>
  <r>
    <s v="TX502200"/>
    <x v="1"/>
    <x v="0"/>
    <n v="34.200000000000003"/>
    <n v="34.200000000000003"/>
    <x v="80"/>
    <d v="2025-03-24T00:00:00"/>
    <s v="M"/>
    <x v="0"/>
    <x v="0"/>
    <x v="0"/>
    <x v="9"/>
    <n v="2"/>
    <x v="11"/>
    <x v="1"/>
  </r>
  <r>
    <s v="TX502201"/>
    <x v="19"/>
    <x v="0"/>
    <n v="26.2"/>
    <n v="26.2"/>
    <x v="80"/>
    <d v="2025-03-23T00:00:00"/>
    <s v="M"/>
    <x v="2"/>
    <x v="0"/>
    <x v="0"/>
    <x v="9"/>
    <n v="1"/>
    <x v="11"/>
    <x v="1"/>
  </r>
  <r>
    <s v="TX502202"/>
    <x v="6"/>
    <x v="12"/>
    <n v="53.2"/>
    <n v="212.8"/>
    <x v="80"/>
    <d v="2025-03-23T00:00:00"/>
    <s v="M"/>
    <x v="1"/>
    <x v="1"/>
    <x v="0"/>
    <x v="11"/>
    <n v="1"/>
    <x v="11"/>
    <x v="1"/>
  </r>
  <r>
    <s v="TX502203"/>
    <x v="1"/>
    <x v="0"/>
    <n v="35.4"/>
    <n v="35.4"/>
    <x v="80"/>
    <d v="2025-03-26T00:00:00"/>
    <s v="M"/>
    <x v="1"/>
    <x v="4"/>
    <x v="0"/>
    <x v="18"/>
    <n v="4"/>
    <x v="11"/>
    <x v="1"/>
  </r>
  <r>
    <s v="TX502204"/>
    <x v="14"/>
    <x v="1"/>
    <n v="21.3"/>
    <n v="42.6"/>
    <x v="80"/>
    <d v="2025-03-23T00:00:00"/>
    <s v="M"/>
    <x v="2"/>
    <x v="0"/>
    <x v="0"/>
    <x v="20"/>
    <n v="1"/>
    <x v="11"/>
    <x v="1"/>
  </r>
  <r>
    <s v="TX502205"/>
    <x v="8"/>
    <x v="12"/>
    <n v="32.9"/>
    <n v="131.6"/>
    <x v="80"/>
    <d v="2025-03-25T00:00:00"/>
    <s v="F"/>
    <x v="4"/>
    <x v="2"/>
    <x v="0"/>
    <x v="21"/>
    <n v="3"/>
    <x v="11"/>
    <x v="2"/>
  </r>
  <r>
    <s v="TX502206"/>
    <x v="5"/>
    <x v="20"/>
    <n v="85.5"/>
    <n v="1282.5"/>
    <x v="80"/>
    <d v="2025-03-24T00:00:00"/>
    <s v="F"/>
    <x v="3"/>
    <x v="1"/>
    <x v="0"/>
    <x v="21"/>
    <n v="2"/>
    <x v="11"/>
    <x v="2"/>
  </r>
  <r>
    <s v="TX502207"/>
    <x v="4"/>
    <x v="0"/>
    <n v="26.8"/>
    <n v="26.8"/>
    <x v="80"/>
    <d v="2025-03-23T00:00:00"/>
    <s v="F"/>
    <x v="0"/>
    <x v="1"/>
    <x v="0"/>
    <x v="2"/>
    <n v="1"/>
    <x v="11"/>
    <x v="2"/>
  </r>
  <r>
    <s v="TX502208"/>
    <x v="9"/>
    <x v="18"/>
    <n v="31.7"/>
    <n v="824.19999999999993"/>
    <x v="80"/>
    <d v="2025-03-22T00:00:00"/>
    <s v="F"/>
    <x v="3"/>
    <x v="0"/>
    <x v="0"/>
    <x v="2"/>
    <n v="0"/>
    <x v="11"/>
    <x v="2"/>
  </r>
  <r>
    <s v="TX502209"/>
    <x v="1"/>
    <x v="1"/>
    <n v="78.3"/>
    <n v="156.6"/>
    <x v="80"/>
    <d v="2025-03-24T00:00:00"/>
    <s v="F"/>
    <x v="1"/>
    <x v="1"/>
    <x v="0"/>
    <x v="3"/>
    <n v="2"/>
    <x v="11"/>
    <x v="2"/>
  </r>
  <r>
    <s v="TX502210"/>
    <x v="6"/>
    <x v="0"/>
    <n v="43.9"/>
    <n v="43.9"/>
    <x v="80"/>
    <d v="2025-03-23T00:00:00"/>
    <s v="M"/>
    <x v="0"/>
    <x v="0"/>
    <x v="0"/>
    <x v="3"/>
    <n v="1"/>
    <x v="11"/>
    <x v="1"/>
  </r>
  <r>
    <s v="TX502211"/>
    <x v="18"/>
    <x v="2"/>
    <n v="84"/>
    <n v="252"/>
    <x v="80"/>
    <d v="2025-03-24T00:00:00"/>
    <s v=""/>
    <x v="3"/>
    <x v="2"/>
    <x v="0"/>
    <x v="3"/>
    <n v="2"/>
    <x v="11"/>
    <x v="0"/>
  </r>
  <r>
    <s v="TX502212"/>
    <x v="0"/>
    <x v="2"/>
    <n v="11.4"/>
    <n v="34.200000000000003"/>
    <x v="80"/>
    <d v="2025-03-23T00:00:00"/>
    <s v="M"/>
    <x v="4"/>
    <x v="0"/>
    <x v="0"/>
    <x v="3"/>
    <n v="1"/>
    <x v="11"/>
    <x v="1"/>
  </r>
  <r>
    <s v="TX502213"/>
    <x v="12"/>
    <x v="8"/>
    <n v="47.5"/>
    <n v="380"/>
    <x v="80"/>
    <d v="2025-03-30T00:00:00"/>
    <s v="F"/>
    <x v="0"/>
    <x v="0"/>
    <x v="0"/>
    <x v="3"/>
    <n v="8"/>
    <x v="11"/>
    <x v="2"/>
  </r>
  <r>
    <s v="TX502214"/>
    <x v="9"/>
    <x v="5"/>
    <n v="50.5"/>
    <n v="555.5"/>
    <x v="80"/>
    <d v="2025-03-24T00:00:00"/>
    <s v="M"/>
    <x v="2"/>
    <x v="0"/>
    <x v="0"/>
    <x v="3"/>
    <n v="2"/>
    <x v="11"/>
    <x v="1"/>
  </r>
  <r>
    <s v="TX502215"/>
    <x v="15"/>
    <x v="0"/>
    <n v="36.299999999999997"/>
    <n v="36.299999999999997"/>
    <x v="80"/>
    <d v="2025-03-25T00:00:00"/>
    <s v="O"/>
    <x v="0"/>
    <x v="1"/>
    <x v="0"/>
    <x v="8"/>
    <n v="3"/>
    <x v="11"/>
    <x v="3"/>
  </r>
  <r>
    <s v="TX502216"/>
    <x v="8"/>
    <x v="1"/>
    <n v="35.4"/>
    <n v="70.8"/>
    <x v="80"/>
    <d v="2025-03-23T00:00:00"/>
    <s v="F"/>
    <x v="0"/>
    <x v="0"/>
    <x v="0"/>
    <x v="17"/>
    <n v="1"/>
    <x v="11"/>
    <x v="2"/>
  </r>
  <r>
    <s v="TX502217"/>
    <x v="1"/>
    <x v="2"/>
    <n v="45.9"/>
    <n v="137.69999999999999"/>
    <x v="81"/>
    <d v="2025-03-24T00:00:00"/>
    <s v="M"/>
    <x v="3"/>
    <x v="0"/>
    <x v="0"/>
    <x v="9"/>
    <n v="1"/>
    <x v="12"/>
    <x v="1"/>
  </r>
  <r>
    <s v="TX502218"/>
    <x v="6"/>
    <x v="7"/>
    <n v="41.2"/>
    <n v="412"/>
    <x v="81"/>
    <d v="2025-03-27T00:00:00"/>
    <s v="M"/>
    <x v="0"/>
    <x v="0"/>
    <x v="0"/>
    <x v="11"/>
    <n v="4"/>
    <x v="12"/>
    <x v="1"/>
  </r>
  <r>
    <s v="TX502219"/>
    <x v="17"/>
    <x v="1"/>
    <n v="45.1"/>
    <n v="90.2"/>
    <x v="81"/>
    <d v="2025-03-24T00:00:00"/>
    <s v="M"/>
    <x v="1"/>
    <x v="1"/>
    <x v="0"/>
    <x v="21"/>
    <n v="1"/>
    <x v="12"/>
    <x v="1"/>
  </r>
  <r>
    <s v="TX502220"/>
    <x v="6"/>
    <x v="7"/>
    <n v="63.6"/>
    <n v="636"/>
    <x v="81"/>
    <d v="2025-03-23T00:00:00"/>
    <s v="M"/>
    <x v="2"/>
    <x v="0"/>
    <x v="0"/>
    <x v="1"/>
    <n v="0"/>
    <x v="12"/>
    <x v="1"/>
  </r>
  <r>
    <s v="TX502221"/>
    <x v="8"/>
    <x v="0"/>
    <n v="70.5"/>
    <n v="70.5"/>
    <x v="81"/>
    <d v="2025-03-24T00:00:00"/>
    <s v="M"/>
    <x v="0"/>
    <x v="0"/>
    <x v="0"/>
    <x v="3"/>
    <n v="1"/>
    <x v="12"/>
    <x v="1"/>
  </r>
  <r>
    <s v="TX502222"/>
    <x v="6"/>
    <x v="0"/>
    <n v="41.3"/>
    <n v="41.3"/>
    <x v="81"/>
    <d v="2025-03-23T00:00:00"/>
    <s v="M"/>
    <x v="4"/>
    <x v="0"/>
    <x v="0"/>
    <x v="3"/>
    <n v="0"/>
    <x v="12"/>
    <x v="1"/>
  </r>
  <r>
    <s v="TX502223"/>
    <x v="4"/>
    <x v="0"/>
    <n v="35.299999999999997"/>
    <n v="35.299999999999997"/>
    <x v="81"/>
    <d v="2025-03-26T00:00:00"/>
    <s v="F"/>
    <x v="4"/>
    <x v="2"/>
    <x v="0"/>
    <x v="3"/>
    <n v="3"/>
    <x v="12"/>
    <x v="2"/>
  </r>
  <r>
    <s v="TX502224"/>
    <x v="8"/>
    <x v="9"/>
    <n v="34.700000000000003"/>
    <n v="173.5"/>
    <x v="81"/>
    <d v="2025-03-24T00:00:00"/>
    <s v="F"/>
    <x v="0"/>
    <x v="2"/>
    <x v="0"/>
    <x v="3"/>
    <n v="1"/>
    <x v="12"/>
    <x v="2"/>
  </r>
  <r>
    <s v="TX502225"/>
    <x v="8"/>
    <x v="2"/>
    <n v="26.1"/>
    <n v="78.300000000000011"/>
    <x v="81"/>
    <d v="2025-03-24T00:00:00"/>
    <s v="F"/>
    <x v="0"/>
    <x v="0"/>
    <x v="0"/>
    <x v="3"/>
    <n v="1"/>
    <x v="12"/>
    <x v="2"/>
  </r>
  <r>
    <s v="TX502226"/>
    <x v="9"/>
    <x v="9"/>
    <n v="22.6"/>
    <n v="113"/>
    <x v="81"/>
    <d v="2025-03-23T00:00:00"/>
    <s v="F"/>
    <x v="1"/>
    <x v="2"/>
    <x v="0"/>
    <x v="3"/>
    <n v="0"/>
    <x v="12"/>
    <x v="2"/>
  </r>
  <r>
    <s v="TX502227"/>
    <x v="2"/>
    <x v="1"/>
    <n v="154.4"/>
    <n v="308.8"/>
    <x v="81"/>
    <d v="2025-03-26T00:00:00"/>
    <s v="M"/>
    <x v="1"/>
    <x v="1"/>
    <x v="0"/>
    <x v="3"/>
    <n v="3"/>
    <x v="12"/>
    <x v="1"/>
  </r>
  <r>
    <s v="TX502228"/>
    <x v="8"/>
    <x v="1"/>
    <n v="18.399999999999999"/>
    <n v="36.799999999999997"/>
    <x v="81"/>
    <d v="2025-03-24T00:00:00"/>
    <s v="M"/>
    <x v="0"/>
    <x v="0"/>
    <x v="0"/>
    <x v="3"/>
    <n v="1"/>
    <x v="12"/>
    <x v="1"/>
  </r>
  <r>
    <s v="TX502229"/>
    <x v="14"/>
    <x v="0"/>
    <n v="25"/>
    <n v="25"/>
    <x v="81"/>
    <d v="2025-03-26T00:00:00"/>
    <s v="F"/>
    <x v="0"/>
    <x v="0"/>
    <x v="0"/>
    <x v="3"/>
    <n v="3"/>
    <x v="12"/>
    <x v="2"/>
  </r>
  <r>
    <s v="TX502230"/>
    <x v="2"/>
    <x v="13"/>
    <n v="105.6"/>
    <n v="633.59999999999991"/>
    <x v="81"/>
    <d v="2025-03-23T00:00:00"/>
    <s v="F"/>
    <x v="0"/>
    <x v="0"/>
    <x v="0"/>
    <x v="3"/>
    <n v="0"/>
    <x v="12"/>
    <x v="2"/>
  </r>
  <r>
    <s v="TX502231"/>
    <x v="18"/>
    <x v="8"/>
    <n v="59.6"/>
    <n v="476.8"/>
    <x v="81"/>
    <d v="2025-03-23T00:00:00"/>
    <s v="F"/>
    <x v="0"/>
    <x v="2"/>
    <x v="0"/>
    <x v="23"/>
    <n v="0"/>
    <x v="12"/>
    <x v="2"/>
  </r>
  <r>
    <s v="TX502232"/>
    <x v="15"/>
    <x v="2"/>
    <n v="75.400000000000006"/>
    <n v="226.20000000000002"/>
    <x v="81"/>
    <d v="2025-03-28T00:00:00"/>
    <s v="M"/>
    <x v="0"/>
    <x v="1"/>
    <x v="0"/>
    <x v="7"/>
    <n v="5"/>
    <x v="12"/>
    <x v="1"/>
  </r>
  <r>
    <s v="TX502233"/>
    <x v="7"/>
    <x v="0"/>
    <n v="104.4"/>
    <n v="104.4"/>
    <x v="81"/>
    <d v="2025-03-24T00:00:00"/>
    <s v="F"/>
    <x v="0"/>
    <x v="0"/>
    <x v="0"/>
    <x v="8"/>
    <n v="1"/>
    <x v="12"/>
    <x v="2"/>
  </r>
  <r>
    <s v="TX502234"/>
    <x v="2"/>
    <x v="7"/>
    <n v="208.2"/>
    <n v="2082"/>
    <x v="81"/>
    <d v="2025-03-24T00:00:00"/>
    <s v="M"/>
    <x v="0"/>
    <x v="2"/>
    <x v="0"/>
    <x v="8"/>
    <n v="1"/>
    <x v="12"/>
    <x v="1"/>
  </r>
  <r>
    <s v="TX502235"/>
    <x v="6"/>
    <x v="1"/>
    <n v="45"/>
    <n v="90"/>
    <x v="81"/>
    <d v="2025-03-26T00:00:00"/>
    <s v="F"/>
    <x v="0"/>
    <x v="0"/>
    <x v="0"/>
    <x v="10"/>
    <n v="3"/>
    <x v="12"/>
    <x v="2"/>
  </r>
  <r>
    <s v="TX502236"/>
    <x v="15"/>
    <x v="1"/>
    <n v="20.3"/>
    <n v="40.6"/>
    <x v="82"/>
    <d v="2025-03-26T00:00:00"/>
    <s v=""/>
    <x v="1"/>
    <x v="0"/>
    <x v="0"/>
    <x v="11"/>
    <n v="2"/>
    <x v="12"/>
    <x v="0"/>
  </r>
  <r>
    <s v="TX502237"/>
    <x v="2"/>
    <x v="2"/>
    <n v="94.4"/>
    <n v="283.20000000000005"/>
    <x v="82"/>
    <d v="2025-03-25T00:00:00"/>
    <s v="F"/>
    <x v="0"/>
    <x v="2"/>
    <x v="0"/>
    <x v="11"/>
    <n v="1"/>
    <x v="12"/>
    <x v="2"/>
  </r>
  <r>
    <s v="TX502238"/>
    <x v="9"/>
    <x v="0"/>
    <n v="49"/>
    <n v="49"/>
    <x v="82"/>
    <d v="2025-03-26T00:00:00"/>
    <s v="F"/>
    <x v="0"/>
    <x v="2"/>
    <x v="0"/>
    <x v="20"/>
    <n v="2"/>
    <x v="12"/>
    <x v="2"/>
  </r>
  <r>
    <s v="TX502239"/>
    <x v="4"/>
    <x v="1"/>
    <n v="27.2"/>
    <n v="54.4"/>
    <x v="82"/>
    <d v="2025-03-26T00:00:00"/>
    <s v="M"/>
    <x v="0"/>
    <x v="2"/>
    <x v="0"/>
    <x v="1"/>
    <n v="2"/>
    <x v="12"/>
    <x v="1"/>
  </r>
  <r>
    <s v="TX502240"/>
    <x v="2"/>
    <x v="13"/>
    <n v="72.599999999999994"/>
    <n v="435.59999999999997"/>
    <x v="82"/>
    <d v="2025-03-25T00:00:00"/>
    <s v="F"/>
    <x v="0"/>
    <x v="2"/>
    <x v="0"/>
    <x v="2"/>
    <n v="1"/>
    <x v="12"/>
    <x v="2"/>
  </r>
  <r>
    <s v="TX502241"/>
    <x v="15"/>
    <x v="12"/>
    <n v="62.4"/>
    <n v="249.6"/>
    <x v="82"/>
    <d v="2025-03-25T00:00:00"/>
    <s v="F"/>
    <x v="0"/>
    <x v="0"/>
    <x v="0"/>
    <x v="3"/>
    <n v="1"/>
    <x v="12"/>
    <x v="2"/>
  </r>
  <r>
    <s v="TX502242"/>
    <x v="8"/>
    <x v="2"/>
    <n v="19.100000000000001"/>
    <n v="57.300000000000004"/>
    <x v="82"/>
    <d v="2025-03-26T00:00:00"/>
    <s v="M"/>
    <x v="0"/>
    <x v="1"/>
    <x v="0"/>
    <x v="3"/>
    <n v="2"/>
    <x v="12"/>
    <x v="1"/>
  </r>
  <r>
    <s v="TX502243"/>
    <x v="10"/>
    <x v="0"/>
    <n v="29.6"/>
    <n v="29.6"/>
    <x v="82"/>
    <d v="2025-03-28T00:00:00"/>
    <s v="M"/>
    <x v="0"/>
    <x v="4"/>
    <x v="0"/>
    <x v="3"/>
    <n v="4"/>
    <x v="12"/>
    <x v="1"/>
  </r>
  <r>
    <s v="TX502244"/>
    <x v="8"/>
    <x v="1"/>
    <n v="18.899999999999999"/>
    <n v="37.799999999999997"/>
    <x v="82"/>
    <d v="2025-03-26T00:00:00"/>
    <s v="F"/>
    <x v="4"/>
    <x v="2"/>
    <x v="0"/>
    <x v="3"/>
    <n v="2"/>
    <x v="12"/>
    <x v="2"/>
  </r>
  <r>
    <s v="TX502245"/>
    <x v="10"/>
    <x v="9"/>
    <n v="41.4"/>
    <n v="207"/>
    <x v="82"/>
    <d v="2025-03-25T00:00:00"/>
    <s v="M"/>
    <x v="3"/>
    <x v="0"/>
    <x v="0"/>
    <x v="3"/>
    <n v="1"/>
    <x v="12"/>
    <x v="1"/>
  </r>
  <r>
    <s v="TX502246"/>
    <x v="2"/>
    <x v="0"/>
    <n v="118.4"/>
    <n v="118.4"/>
    <x v="82"/>
    <d v="2025-03-25T00:00:00"/>
    <s v="F"/>
    <x v="0"/>
    <x v="2"/>
    <x v="0"/>
    <x v="3"/>
    <n v="1"/>
    <x v="12"/>
    <x v="2"/>
  </r>
  <r>
    <s v="TX502247"/>
    <x v="2"/>
    <x v="1"/>
    <n v="125.3"/>
    <n v="250.6"/>
    <x v="82"/>
    <d v="2025-03-27T00:00:00"/>
    <s v="F"/>
    <x v="0"/>
    <x v="2"/>
    <x v="0"/>
    <x v="3"/>
    <n v="3"/>
    <x v="12"/>
    <x v="2"/>
  </r>
  <r>
    <s v="TX502248"/>
    <x v="3"/>
    <x v="1"/>
    <n v="85.8"/>
    <n v="171.6"/>
    <x v="82"/>
    <d v="2025-03-25T00:00:00"/>
    <s v="F"/>
    <x v="1"/>
    <x v="4"/>
    <x v="0"/>
    <x v="3"/>
    <n v="1"/>
    <x v="12"/>
    <x v="2"/>
  </r>
  <r>
    <s v="TX502249"/>
    <x v="6"/>
    <x v="0"/>
    <n v="44.2"/>
    <n v="44.2"/>
    <x v="82"/>
    <d v="2025-03-27T00:00:00"/>
    <s v="M"/>
    <x v="1"/>
    <x v="0"/>
    <x v="0"/>
    <x v="3"/>
    <n v="3"/>
    <x v="12"/>
    <x v="1"/>
  </r>
  <r>
    <s v="TX502250"/>
    <x v="5"/>
    <x v="12"/>
    <n v="74.099999999999994"/>
    <n v="296.39999999999998"/>
    <x v="82"/>
    <d v="2025-03-26T00:00:00"/>
    <s v="F"/>
    <x v="0"/>
    <x v="0"/>
    <x v="0"/>
    <x v="3"/>
    <n v="2"/>
    <x v="12"/>
    <x v="2"/>
  </r>
  <r>
    <s v="TX502251"/>
    <x v="8"/>
    <x v="0"/>
    <n v="33.799999999999997"/>
    <n v="33.799999999999997"/>
    <x v="82"/>
    <d v="2025-03-25T00:00:00"/>
    <s v="F"/>
    <x v="2"/>
    <x v="2"/>
    <x v="0"/>
    <x v="24"/>
    <n v="1"/>
    <x v="12"/>
    <x v="2"/>
  </r>
  <r>
    <s v="TX502252"/>
    <x v="1"/>
    <x v="1"/>
    <n v="39.1"/>
    <n v="78.2"/>
    <x v="82"/>
    <d v="2025-03-25T00:00:00"/>
    <s v="M"/>
    <x v="0"/>
    <x v="1"/>
    <x v="0"/>
    <x v="24"/>
    <n v="1"/>
    <x v="12"/>
    <x v="1"/>
  </r>
  <r>
    <s v="TX502253"/>
    <x v="0"/>
    <x v="0"/>
    <n v="37.200000000000003"/>
    <n v="37.200000000000003"/>
    <x v="82"/>
    <d v="2025-03-25T00:00:00"/>
    <s v="M"/>
    <x v="0"/>
    <x v="1"/>
    <x v="0"/>
    <x v="16"/>
    <n v="1"/>
    <x v="12"/>
    <x v="1"/>
  </r>
  <r>
    <s v="TX502254"/>
    <x v="15"/>
    <x v="2"/>
    <n v="33.9"/>
    <n v="101.69999999999999"/>
    <x v="82"/>
    <d v="2025-03-26T00:00:00"/>
    <s v="M"/>
    <x v="2"/>
    <x v="0"/>
    <x v="0"/>
    <x v="6"/>
    <n v="2"/>
    <x v="12"/>
    <x v="1"/>
  </r>
  <r>
    <s v="TX502255"/>
    <x v="7"/>
    <x v="20"/>
    <n v="73.3"/>
    <n v="1099.5"/>
    <x v="82"/>
    <d v="2025-03-27T00:00:00"/>
    <s v="F"/>
    <x v="2"/>
    <x v="1"/>
    <x v="0"/>
    <x v="8"/>
    <n v="3"/>
    <x v="12"/>
    <x v="2"/>
  </r>
  <r>
    <s v="TX502256"/>
    <x v="8"/>
    <x v="12"/>
    <n v="35"/>
    <n v="140"/>
    <x v="82"/>
    <d v="2025-03-26T00:00:00"/>
    <s v="F"/>
    <x v="1"/>
    <x v="0"/>
    <x v="0"/>
    <x v="8"/>
    <n v="2"/>
    <x v="12"/>
    <x v="2"/>
  </r>
  <r>
    <s v="TX502257"/>
    <x v="0"/>
    <x v="2"/>
    <n v="22.2"/>
    <n v="66.599999999999994"/>
    <x v="82"/>
    <d v="2025-03-25T00:00:00"/>
    <s v="M"/>
    <x v="1"/>
    <x v="0"/>
    <x v="0"/>
    <x v="17"/>
    <n v="1"/>
    <x v="12"/>
    <x v="1"/>
  </r>
  <r>
    <s v="TX502258"/>
    <x v="10"/>
    <x v="0"/>
    <n v="32.4"/>
    <n v="32.4"/>
    <x v="82"/>
    <d v="2025-03-25T00:00:00"/>
    <s v="F"/>
    <x v="0"/>
    <x v="0"/>
    <x v="0"/>
    <x v="11"/>
    <n v="1"/>
    <x v="12"/>
    <x v="2"/>
  </r>
  <r>
    <s v="TX502259"/>
    <x v="5"/>
    <x v="2"/>
    <n v="88.4"/>
    <n v="265.20000000000005"/>
    <x v="83"/>
    <d v="2025-03-27T00:00:00"/>
    <s v="F"/>
    <x v="1"/>
    <x v="1"/>
    <x v="0"/>
    <x v="11"/>
    <n v="2"/>
    <x v="12"/>
    <x v="2"/>
  </r>
  <r>
    <s v="TX502260"/>
    <x v="5"/>
    <x v="27"/>
    <n v="30.5"/>
    <n v="488"/>
    <x v="83"/>
    <d v="2025-03-26T00:00:00"/>
    <s v="F"/>
    <x v="2"/>
    <x v="0"/>
    <x v="0"/>
    <x v="11"/>
    <n v="1"/>
    <x v="12"/>
    <x v="2"/>
  </r>
  <r>
    <s v="TX502261"/>
    <x v="1"/>
    <x v="13"/>
    <n v="38.1"/>
    <n v="228.60000000000002"/>
    <x v="83"/>
    <d v="2025-03-27T00:00:00"/>
    <s v="F"/>
    <x v="0"/>
    <x v="1"/>
    <x v="0"/>
    <x v="11"/>
    <n v="2"/>
    <x v="12"/>
    <x v="2"/>
  </r>
  <r>
    <s v="TX502262"/>
    <x v="10"/>
    <x v="9"/>
    <n v="37.6"/>
    <n v="188"/>
    <x v="83"/>
    <d v="2025-03-29T00:00:00"/>
    <s v="M"/>
    <x v="0"/>
    <x v="0"/>
    <x v="0"/>
    <x v="11"/>
    <n v="4"/>
    <x v="12"/>
    <x v="1"/>
  </r>
  <r>
    <s v="TX502263"/>
    <x v="15"/>
    <x v="1"/>
    <n v="31.4"/>
    <n v="62.8"/>
    <x v="83"/>
    <d v="2025-03-26T00:00:00"/>
    <s v="M"/>
    <x v="0"/>
    <x v="2"/>
    <x v="0"/>
    <x v="11"/>
    <n v="1"/>
    <x v="12"/>
    <x v="1"/>
  </r>
  <r>
    <s v="TX502264"/>
    <x v="6"/>
    <x v="1"/>
    <n v="61.5"/>
    <n v="123"/>
    <x v="83"/>
    <d v="2025-03-26T00:00:00"/>
    <s v="M"/>
    <x v="3"/>
    <x v="0"/>
    <x v="0"/>
    <x v="31"/>
    <n v="1"/>
    <x v="12"/>
    <x v="1"/>
  </r>
  <r>
    <s v="TX502265"/>
    <x v="6"/>
    <x v="0"/>
    <n v="72.599999999999994"/>
    <n v="72.599999999999994"/>
    <x v="83"/>
    <d v="2025-03-26T00:00:00"/>
    <s v="M"/>
    <x v="0"/>
    <x v="1"/>
    <x v="0"/>
    <x v="21"/>
    <n v="1"/>
    <x v="12"/>
    <x v="1"/>
  </r>
  <r>
    <s v="TX502266"/>
    <x v="9"/>
    <x v="2"/>
    <n v="26.9"/>
    <n v="80.699999999999989"/>
    <x v="83"/>
    <d v="2025-03-30T00:00:00"/>
    <s v="O"/>
    <x v="4"/>
    <x v="1"/>
    <x v="0"/>
    <x v="46"/>
    <n v="5"/>
    <x v="12"/>
    <x v="3"/>
  </r>
  <r>
    <s v="TX502267"/>
    <x v="17"/>
    <x v="4"/>
    <n v="29.4"/>
    <n v="352.79999999999995"/>
    <x v="83"/>
    <d v="2025-03-26T00:00:00"/>
    <s v="F"/>
    <x v="1"/>
    <x v="0"/>
    <x v="0"/>
    <x v="51"/>
    <n v="1"/>
    <x v="12"/>
    <x v="2"/>
  </r>
  <r>
    <s v="TX502268"/>
    <x v="17"/>
    <x v="1"/>
    <n v="42.1"/>
    <n v="84.2"/>
    <x v="83"/>
    <d v="2025-03-26T00:00:00"/>
    <s v="F"/>
    <x v="3"/>
    <x v="1"/>
    <x v="0"/>
    <x v="1"/>
    <n v="1"/>
    <x v="12"/>
    <x v="2"/>
  </r>
  <r>
    <s v="TX502269"/>
    <x v="5"/>
    <x v="0"/>
    <n v="40.5"/>
    <n v="40.5"/>
    <x v="83"/>
    <d v="2025-03-26T00:00:00"/>
    <s v="F"/>
    <x v="2"/>
    <x v="1"/>
    <x v="0"/>
    <x v="1"/>
    <n v="1"/>
    <x v="12"/>
    <x v="2"/>
  </r>
  <r>
    <s v="TX502270"/>
    <x v="2"/>
    <x v="12"/>
    <n v="182.3"/>
    <n v="729.2"/>
    <x v="83"/>
    <d v="2025-03-26T00:00:00"/>
    <s v="F"/>
    <x v="1"/>
    <x v="0"/>
    <x v="0"/>
    <x v="1"/>
    <n v="1"/>
    <x v="12"/>
    <x v="2"/>
  </r>
  <r>
    <s v="TX502271"/>
    <x v="2"/>
    <x v="9"/>
    <n v="157"/>
    <n v="785"/>
    <x v="83"/>
    <d v="2025-03-28T00:00:00"/>
    <s v="F"/>
    <x v="1"/>
    <x v="2"/>
    <x v="0"/>
    <x v="2"/>
    <n v="3"/>
    <x v="12"/>
    <x v="2"/>
  </r>
  <r>
    <s v="TX502272"/>
    <x v="17"/>
    <x v="9"/>
    <n v="45.2"/>
    <n v="226"/>
    <x v="83"/>
    <d v="2025-03-28T00:00:00"/>
    <s v="F"/>
    <x v="1"/>
    <x v="0"/>
    <x v="0"/>
    <x v="22"/>
    <n v="3"/>
    <x v="12"/>
    <x v="2"/>
  </r>
  <r>
    <s v="TX502273"/>
    <x v="15"/>
    <x v="12"/>
    <n v="27.4"/>
    <n v="109.6"/>
    <x v="83"/>
    <d v="2025-03-27T00:00:00"/>
    <s v="F"/>
    <x v="0"/>
    <x v="0"/>
    <x v="0"/>
    <x v="3"/>
    <n v="2"/>
    <x v="12"/>
    <x v="2"/>
  </r>
  <r>
    <s v="TX502274"/>
    <x v="5"/>
    <x v="9"/>
    <n v="34.1"/>
    <n v="170.5"/>
    <x v="83"/>
    <d v="2025-03-27T00:00:00"/>
    <s v="M"/>
    <x v="0"/>
    <x v="2"/>
    <x v="0"/>
    <x v="3"/>
    <n v="2"/>
    <x v="12"/>
    <x v="1"/>
  </r>
  <r>
    <s v="TX502275"/>
    <x v="0"/>
    <x v="1"/>
    <n v="26"/>
    <n v="52"/>
    <x v="83"/>
    <d v="2025-03-27T00:00:00"/>
    <s v="M"/>
    <x v="2"/>
    <x v="1"/>
    <x v="0"/>
    <x v="3"/>
    <n v="2"/>
    <x v="12"/>
    <x v="1"/>
  </r>
  <r>
    <s v="TX502276"/>
    <x v="8"/>
    <x v="3"/>
    <n v="19.399999999999999"/>
    <n v="135.79999999999998"/>
    <x v="83"/>
    <d v="2025-03-27T00:00:00"/>
    <s v=""/>
    <x v="1"/>
    <x v="1"/>
    <x v="0"/>
    <x v="3"/>
    <n v="2"/>
    <x v="12"/>
    <x v="0"/>
  </r>
  <r>
    <s v="TX502277"/>
    <x v="16"/>
    <x v="2"/>
    <n v="30.3"/>
    <n v="90.9"/>
    <x v="83"/>
    <d v="2025-03-28T00:00:00"/>
    <s v="F"/>
    <x v="1"/>
    <x v="2"/>
    <x v="0"/>
    <x v="3"/>
    <n v="3"/>
    <x v="12"/>
    <x v="2"/>
  </r>
  <r>
    <s v="TX502278"/>
    <x v="2"/>
    <x v="2"/>
    <n v="101.4"/>
    <n v="304.20000000000005"/>
    <x v="83"/>
    <d v="2025-03-26T00:00:00"/>
    <s v="M"/>
    <x v="0"/>
    <x v="0"/>
    <x v="0"/>
    <x v="3"/>
    <n v="1"/>
    <x v="12"/>
    <x v="1"/>
  </r>
  <r>
    <s v="TX502279"/>
    <x v="3"/>
    <x v="9"/>
    <n v="55.5"/>
    <n v="277.5"/>
    <x v="83"/>
    <d v="2025-03-28T00:00:00"/>
    <s v="M"/>
    <x v="1"/>
    <x v="0"/>
    <x v="0"/>
    <x v="24"/>
    <n v="3"/>
    <x v="12"/>
    <x v="1"/>
  </r>
  <r>
    <s v="TX502280"/>
    <x v="8"/>
    <x v="0"/>
    <n v="23.1"/>
    <n v="23.1"/>
    <x v="83"/>
    <d v="2025-03-26T00:00:00"/>
    <s v="M"/>
    <x v="0"/>
    <x v="0"/>
    <x v="0"/>
    <x v="25"/>
    <n v="1"/>
    <x v="12"/>
    <x v="1"/>
  </r>
  <r>
    <s v="TX502281"/>
    <x v="18"/>
    <x v="1"/>
    <n v="38.9"/>
    <n v="77.8"/>
    <x v="83"/>
    <d v="2025-03-26T00:00:00"/>
    <s v="M"/>
    <x v="2"/>
    <x v="0"/>
    <x v="0"/>
    <x v="25"/>
    <n v="1"/>
    <x v="12"/>
    <x v="1"/>
  </r>
  <r>
    <s v="TX502282"/>
    <x v="6"/>
    <x v="11"/>
    <n v="116.3"/>
    <n v="1046.7"/>
    <x v="83"/>
    <d v="2025-03-29T00:00:00"/>
    <s v="F"/>
    <x v="0"/>
    <x v="0"/>
    <x v="0"/>
    <x v="5"/>
    <n v="4"/>
    <x v="12"/>
    <x v="2"/>
  </r>
  <r>
    <s v="TX502283"/>
    <x v="16"/>
    <x v="11"/>
    <n v="64.099999999999994"/>
    <n v="576.9"/>
    <x v="83"/>
    <d v="2025-03-25T00:00:00"/>
    <s v="F"/>
    <x v="0"/>
    <x v="2"/>
    <x v="0"/>
    <x v="6"/>
    <n v="0"/>
    <x v="12"/>
    <x v="2"/>
  </r>
  <r>
    <s v="TX502284"/>
    <x v="2"/>
    <x v="13"/>
    <n v="109.2"/>
    <n v="655.20000000000005"/>
    <x v="83"/>
    <d v="2025-03-27T00:00:00"/>
    <s v="M"/>
    <x v="0"/>
    <x v="1"/>
    <x v="0"/>
    <x v="8"/>
    <n v="2"/>
    <x v="12"/>
    <x v="1"/>
  </r>
  <r>
    <s v="TX502285"/>
    <x v="10"/>
    <x v="9"/>
    <n v="23.2"/>
    <n v="116"/>
    <x v="84"/>
    <d v="2025-03-27T00:00:00"/>
    <s v="M"/>
    <x v="0"/>
    <x v="1"/>
    <x v="0"/>
    <x v="8"/>
    <n v="1"/>
    <x v="12"/>
    <x v="1"/>
  </r>
  <r>
    <s v="TX502286"/>
    <x v="18"/>
    <x v="13"/>
    <n v="81.2"/>
    <n v="487.20000000000005"/>
    <x v="84"/>
    <d v="2025-03-28T00:00:00"/>
    <s v="M"/>
    <x v="2"/>
    <x v="2"/>
    <x v="0"/>
    <x v="8"/>
    <n v="2"/>
    <x v="12"/>
    <x v="1"/>
  </r>
  <r>
    <s v="TX502287"/>
    <x v="1"/>
    <x v="21"/>
    <n v="35.700000000000003"/>
    <n v="499.80000000000007"/>
    <x v="84"/>
    <d v="2025-03-27T00:00:00"/>
    <s v="M"/>
    <x v="3"/>
    <x v="0"/>
    <x v="0"/>
    <x v="8"/>
    <n v="1"/>
    <x v="12"/>
    <x v="1"/>
  </r>
  <r>
    <s v="TX502288"/>
    <x v="7"/>
    <x v="1"/>
    <n v="44.5"/>
    <n v="89"/>
    <x v="84"/>
    <d v="2025-03-29T00:00:00"/>
    <s v="M"/>
    <x v="4"/>
    <x v="0"/>
    <x v="0"/>
    <x v="9"/>
    <n v="3"/>
    <x v="12"/>
    <x v="1"/>
  </r>
  <r>
    <s v="TX502289"/>
    <x v="1"/>
    <x v="9"/>
    <n v="32"/>
    <n v="160"/>
    <x v="84"/>
    <d v="2025-03-28T00:00:00"/>
    <s v="O"/>
    <x v="1"/>
    <x v="1"/>
    <x v="0"/>
    <x v="9"/>
    <n v="2"/>
    <x v="12"/>
    <x v="3"/>
  </r>
  <r>
    <s v="TX502290"/>
    <x v="8"/>
    <x v="0"/>
    <n v="25.7"/>
    <n v="25.7"/>
    <x v="84"/>
    <d v="2025-03-27T00:00:00"/>
    <s v="M"/>
    <x v="0"/>
    <x v="0"/>
    <x v="0"/>
    <x v="10"/>
    <n v="1"/>
    <x v="12"/>
    <x v="1"/>
  </r>
  <r>
    <s v="TX502291"/>
    <x v="16"/>
    <x v="2"/>
    <n v="65.599999999999994"/>
    <n v="196.79999999999998"/>
    <x v="84"/>
    <d v="2025-04-01T00:00:00"/>
    <s v="M"/>
    <x v="0"/>
    <x v="0"/>
    <x v="0"/>
    <x v="11"/>
    <n v="6"/>
    <x v="12"/>
    <x v="1"/>
  </r>
  <r>
    <s v="TX502292"/>
    <x v="1"/>
    <x v="12"/>
    <n v="52.1"/>
    <n v="208.4"/>
    <x v="84"/>
    <d v="2025-03-27T00:00:00"/>
    <s v="F"/>
    <x v="0"/>
    <x v="2"/>
    <x v="0"/>
    <x v="11"/>
    <n v="1"/>
    <x v="12"/>
    <x v="2"/>
  </r>
  <r>
    <s v="TX502293"/>
    <x v="8"/>
    <x v="0"/>
    <n v="31"/>
    <n v="31"/>
    <x v="84"/>
    <d v="2025-03-27T00:00:00"/>
    <s v="M"/>
    <x v="0"/>
    <x v="1"/>
    <x v="0"/>
    <x v="19"/>
    <n v="1"/>
    <x v="12"/>
    <x v="1"/>
  </r>
  <r>
    <s v="TX502294"/>
    <x v="8"/>
    <x v="0"/>
    <n v="32"/>
    <n v="32"/>
    <x v="84"/>
    <d v="2025-03-28T00:00:00"/>
    <s v="O"/>
    <x v="3"/>
    <x v="1"/>
    <x v="0"/>
    <x v="31"/>
    <n v="2"/>
    <x v="12"/>
    <x v="3"/>
  </r>
  <r>
    <s v="TX502295"/>
    <x v="16"/>
    <x v="12"/>
    <n v="58.3"/>
    <n v="233.2"/>
    <x v="84"/>
    <d v="2025-03-30T00:00:00"/>
    <s v="M"/>
    <x v="1"/>
    <x v="4"/>
    <x v="0"/>
    <x v="20"/>
    <n v="4"/>
    <x v="12"/>
    <x v="1"/>
  </r>
  <r>
    <s v="TX502296"/>
    <x v="8"/>
    <x v="2"/>
    <n v="31"/>
    <n v="93"/>
    <x v="84"/>
    <d v="2025-03-28T00:00:00"/>
    <s v="F"/>
    <x v="2"/>
    <x v="4"/>
    <x v="0"/>
    <x v="13"/>
    <n v="2"/>
    <x v="12"/>
    <x v="2"/>
  </r>
  <r>
    <s v="TX502297"/>
    <x v="3"/>
    <x v="0"/>
    <n v="40.299999999999997"/>
    <n v="40.299999999999997"/>
    <x v="84"/>
    <d v="2025-03-27T00:00:00"/>
    <s v="M"/>
    <x v="1"/>
    <x v="2"/>
    <x v="0"/>
    <x v="54"/>
    <n v="1"/>
    <x v="12"/>
    <x v="1"/>
  </r>
  <r>
    <s v="TX502298"/>
    <x v="6"/>
    <x v="2"/>
    <n v="47.3"/>
    <n v="141.89999999999998"/>
    <x v="84"/>
    <d v="2025-03-28T00:00:00"/>
    <s v="M"/>
    <x v="4"/>
    <x v="2"/>
    <x v="0"/>
    <x v="2"/>
    <n v="2"/>
    <x v="12"/>
    <x v="1"/>
  </r>
  <r>
    <s v="TX502299"/>
    <x v="2"/>
    <x v="0"/>
    <n v="82.8"/>
    <n v="82.8"/>
    <x v="84"/>
    <d v="2025-03-27T00:00:00"/>
    <s v="M"/>
    <x v="0"/>
    <x v="0"/>
    <x v="0"/>
    <x v="2"/>
    <n v="1"/>
    <x v="12"/>
    <x v="1"/>
  </r>
  <r>
    <s v="TX502300"/>
    <x v="8"/>
    <x v="0"/>
    <n v="18.5"/>
    <n v="18.5"/>
    <x v="84"/>
    <d v="2025-04-09T00:00:00"/>
    <s v="F"/>
    <x v="0"/>
    <x v="0"/>
    <x v="0"/>
    <x v="44"/>
    <n v="14"/>
    <x v="12"/>
    <x v="2"/>
  </r>
  <r>
    <s v="TX502301"/>
    <x v="3"/>
    <x v="1"/>
    <n v="60.4"/>
    <n v="120.8"/>
    <x v="84"/>
    <d v="2025-03-27T00:00:00"/>
    <s v="M"/>
    <x v="2"/>
    <x v="0"/>
    <x v="0"/>
    <x v="22"/>
    <n v="1"/>
    <x v="12"/>
    <x v="1"/>
  </r>
  <r>
    <s v="TX502302"/>
    <x v="6"/>
    <x v="9"/>
    <n v="80.2"/>
    <n v="401"/>
    <x v="84"/>
    <d v="2025-04-02T00:00:00"/>
    <s v="M"/>
    <x v="1"/>
    <x v="1"/>
    <x v="0"/>
    <x v="50"/>
    <n v="7"/>
    <x v="12"/>
    <x v="1"/>
  </r>
  <r>
    <s v="TX502303"/>
    <x v="4"/>
    <x v="0"/>
    <n v="41.5"/>
    <n v="41.5"/>
    <x v="84"/>
    <d v="2025-03-28T00:00:00"/>
    <s v="M"/>
    <x v="2"/>
    <x v="0"/>
    <x v="0"/>
    <x v="3"/>
    <n v="2"/>
    <x v="12"/>
    <x v="1"/>
  </r>
  <r>
    <s v="TX502304"/>
    <x v="2"/>
    <x v="1"/>
    <n v="83.9"/>
    <n v="167.8"/>
    <x v="84"/>
    <d v="2025-03-29T00:00:00"/>
    <s v="F"/>
    <x v="0"/>
    <x v="0"/>
    <x v="0"/>
    <x v="3"/>
    <n v="3"/>
    <x v="12"/>
    <x v="2"/>
  </r>
  <r>
    <s v="TX502305"/>
    <x v="8"/>
    <x v="1"/>
    <n v="16.7"/>
    <n v="33.4"/>
    <x v="84"/>
    <d v="2025-03-30T00:00:00"/>
    <s v="F"/>
    <x v="0"/>
    <x v="1"/>
    <x v="0"/>
    <x v="3"/>
    <n v="4"/>
    <x v="12"/>
    <x v="2"/>
  </r>
  <r>
    <s v="TX502306"/>
    <x v="9"/>
    <x v="1"/>
    <n v="72.900000000000006"/>
    <n v="145.80000000000001"/>
    <x v="84"/>
    <d v="2025-03-27T00:00:00"/>
    <s v="M"/>
    <x v="2"/>
    <x v="1"/>
    <x v="0"/>
    <x v="3"/>
    <n v="1"/>
    <x v="12"/>
    <x v="1"/>
  </r>
  <r>
    <s v="TX502307"/>
    <x v="5"/>
    <x v="1"/>
    <n v="50.2"/>
    <n v="100.4"/>
    <x v="84"/>
    <d v="2025-03-28T00:00:00"/>
    <s v="F"/>
    <x v="1"/>
    <x v="2"/>
    <x v="0"/>
    <x v="3"/>
    <n v="2"/>
    <x v="12"/>
    <x v="2"/>
  </r>
  <r>
    <s v="TX502308"/>
    <x v="3"/>
    <x v="1"/>
    <n v="34.200000000000003"/>
    <n v="68.400000000000006"/>
    <x v="84"/>
    <d v="2025-04-05T00:00:00"/>
    <s v=""/>
    <x v="1"/>
    <x v="0"/>
    <x v="0"/>
    <x v="3"/>
    <n v="10"/>
    <x v="12"/>
    <x v="0"/>
  </r>
  <r>
    <s v="TX502309"/>
    <x v="5"/>
    <x v="1"/>
    <n v="107.9"/>
    <n v="215.8"/>
    <x v="84"/>
    <d v="2025-03-26T00:00:00"/>
    <s v="M"/>
    <x v="1"/>
    <x v="4"/>
    <x v="0"/>
    <x v="3"/>
    <n v="0"/>
    <x v="12"/>
    <x v="1"/>
  </r>
  <r>
    <s v="TX502310"/>
    <x v="0"/>
    <x v="2"/>
    <n v="17.5"/>
    <n v="52.5"/>
    <x v="84"/>
    <d v="2025-03-28T00:00:00"/>
    <s v="M"/>
    <x v="4"/>
    <x v="0"/>
    <x v="0"/>
    <x v="3"/>
    <n v="2"/>
    <x v="12"/>
    <x v="1"/>
  </r>
  <r>
    <s v="TX502311"/>
    <x v="13"/>
    <x v="20"/>
    <n v="44.7"/>
    <n v="670.5"/>
    <x v="84"/>
    <d v="2025-03-27T00:00:00"/>
    <s v="M"/>
    <x v="0"/>
    <x v="1"/>
    <x v="0"/>
    <x v="3"/>
    <n v="1"/>
    <x v="12"/>
    <x v="1"/>
  </r>
  <r>
    <s v="TX502312"/>
    <x v="12"/>
    <x v="13"/>
    <n v="92.7"/>
    <n v="556.20000000000005"/>
    <x v="84"/>
    <d v="2025-03-28T00:00:00"/>
    <s v="F"/>
    <x v="2"/>
    <x v="1"/>
    <x v="0"/>
    <x v="3"/>
    <n v="2"/>
    <x v="12"/>
    <x v="2"/>
  </r>
  <r>
    <s v="TX502313"/>
    <x v="7"/>
    <x v="2"/>
    <n v="48.8"/>
    <n v="146.39999999999998"/>
    <x v="84"/>
    <d v="2025-03-28T00:00:00"/>
    <s v="F"/>
    <x v="2"/>
    <x v="0"/>
    <x v="0"/>
    <x v="3"/>
    <n v="2"/>
    <x v="12"/>
    <x v="2"/>
  </r>
  <r>
    <s v="TX502314"/>
    <x v="4"/>
    <x v="27"/>
    <n v="21.3"/>
    <n v="340.8"/>
    <x v="84"/>
    <d v="2025-03-30T00:00:00"/>
    <s v="F"/>
    <x v="3"/>
    <x v="3"/>
    <x v="0"/>
    <x v="3"/>
    <n v="4"/>
    <x v="12"/>
    <x v="2"/>
  </r>
  <r>
    <s v="TX502315"/>
    <x v="16"/>
    <x v="0"/>
    <n v="52.5"/>
    <n v="52.5"/>
    <x v="84"/>
    <d v="2025-03-27T00:00:00"/>
    <s v="F"/>
    <x v="0"/>
    <x v="0"/>
    <x v="0"/>
    <x v="3"/>
    <n v="1"/>
    <x v="12"/>
    <x v="2"/>
  </r>
  <r>
    <s v="TX502316"/>
    <x v="1"/>
    <x v="1"/>
    <n v="92.4"/>
    <n v="184.8"/>
    <x v="84"/>
    <d v="2025-04-01T00:00:00"/>
    <s v="F"/>
    <x v="0"/>
    <x v="2"/>
    <x v="0"/>
    <x v="3"/>
    <n v="6"/>
    <x v="12"/>
    <x v="2"/>
  </r>
  <r>
    <s v="TX502317"/>
    <x v="4"/>
    <x v="5"/>
    <n v="58.3"/>
    <n v="641.29999999999995"/>
    <x v="84"/>
    <d v="2025-03-28T00:00:00"/>
    <s v="M"/>
    <x v="1"/>
    <x v="2"/>
    <x v="0"/>
    <x v="3"/>
    <n v="2"/>
    <x v="12"/>
    <x v="1"/>
  </r>
  <r>
    <s v="TX502318"/>
    <x v="6"/>
    <x v="44"/>
    <n v="152.6"/>
    <n v="3509.7999999999997"/>
    <x v="85"/>
    <d v="2025-03-29T00:00:00"/>
    <s v=""/>
    <x v="0"/>
    <x v="0"/>
    <x v="0"/>
    <x v="3"/>
    <n v="2"/>
    <x v="12"/>
    <x v="0"/>
  </r>
  <r>
    <s v="TX502319"/>
    <x v="8"/>
    <x v="1"/>
    <n v="26"/>
    <n v="52"/>
    <x v="85"/>
    <d v="2025-03-27T00:00:00"/>
    <s v=""/>
    <x v="0"/>
    <x v="1"/>
    <x v="0"/>
    <x v="3"/>
    <n v="0"/>
    <x v="12"/>
    <x v="0"/>
  </r>
  <r>
    <s v="TX502320"/>
    <x v="1"/>
    <x v="12"/>
    <n v="33.1"/>
    <n v="132.4"/>
    <x v="85"/>
    <d v="2025-03-27T00:00:00"/>
    <s v="M"/>
    <x v="2"/>
    <x v="4"/>
    <x v="0"/>
    <x v="5"/>
    <n v="0"/>
    <x v="12"/>
    <x v="1"/>
  </r>
  <r>
    <s v="TX502321"/>
    <x v="18"/>
    <x v="0"/>
    <n v="51.4"/>
    <n v="51.4"/>
    <x v="85"/>
    <d v="2025-03-29T00:00:00"/>
    <s v="F"/>
    <x v="1"/>
    <x v="1"/>
    <x v="0"/>
    <x v="5"/>
    <n v="2"/>
    <x v="12"/>
    <x v="2"/>
  </r>
  <r>
    <s v="TX502322"/>
    <x v="8"/>
    <x v="1"/>
    <n v="30.2"/>
    <n v="60.4"/>
    <x v="85"/>
    <d v="2025-03-28T00:00:00"/>
    <s v="F"/>
    <x v="2"/>
    <x v="2"/>
    <x v="0"/>
    <x v="6"/>
    <n v="1"/>
    <x v="12"/>
    <x v="2"/>
  </r>
  <r>
    <s v="TX502323"/>
    <x v="2"/>
    <x v="13"/>
    <n v="97"/>
    <n v="582"/>
    <x v="85"/>
    <d v="2025-03-31T00:00:00"/>
    <s v="F"/>
    <x v="0"/>
    <x v="2"/>
    <x v="0"/>
    <x v="7"/>
    <n v="4"/>
    <x v="12"/>
    <x v="2"/>
  </r>
  <r>
    <s v="TX502324"/>
    <x v="2"/>
    <x v="0"/>
    <n v="76.900000000000006"/>
    <n v="76.900000000000006"/>
    <x v="85"/>
    <d v="2025-03-28T00:00:00"/>
    <s v="M"/>
    <x v="1"/>
    <x v="2"/>
    <x v="0"/>
    <x v="8"/>
    <n v="1"/>
    <x v="12"/>
    <x v="1"/>
  </r>
  <r>
    <s v="TX502325"/>
    <x v="7"/>
    <x v="13"/>
    <n v="36.1"/>
    <n v="216.60000000000002"/>
    <x v="85"/>
    <d v="2025-03-31T00:00:00"/>
    <s v="F"/>
    <x v="0"/>
    <x v="0"/>
    <x v="0"/>
    <x v="8"/>
    <n v="4"/>
    <x v="12"/>
    <x v="2"/>
  </r>
  <r>
    <s v="TX502326"/>
    <x v="1"/>
    <x v="3"/>
    <n v="34.4"/>
    <n v="240.79999999999998"/>
    <x v="85"/>
    <d v="2025-03-27T00:00:00"/>
    <s v="F"/>
    <x v="2"/>
    <x v="1"/>
    <x v="0"/>
    <x v="11"/>
    <n v="0"/>
    <x v="12"/>
    <x v="2"/>
  </r>
  <r>
    <s v="TX502327"/>
    <x v="1"/>
    <x v="31"/>
    <n v="53.4"/>
    <n v="1495.2"/>
    <x v="85"/>
    <d v="2025-03-29T00:00:00"/>
    <s v="F"/>
    <x v="1"/>
    <x v="0"/>
    <x v="0"/>
    <x v="18"/>
    <n v="2"/>
    <x v="12"/>
    <x v="2"/>
  </r>
  <r>
    <s v="TX502328"/>
    <x v="2"/>
    <x v="0"/>
    <n v="77.599999999999994"/>
    <n v="77.599999999999994"/>
    <x v="85"/>
    <d v="2025-03-28T00:00:00"/>
    <s v="F"/>
    <x v="0"/>
    <x v="1"/>
    <x v="0"/>
    <x v="19"/>
    <n v="1"/>
    <x v="12"/>
    <x v="2"/>
  </r>
  <r>
    <s v="TX502329"/>
    <x v="1"/>
    <x v="2"/>
    <n v="71.7"/>
    <n v="215.10000000000002"/>
    <x v="85"/>
    <d v="2025-03-30T00:00:00"/>
    <s v="F"/>
    <x v="1"/>
    <x v="0"/>
    <x v="0"/>
    <x v="19"/>
    <n v="3"/>
    <x v="12"/>
    <x v="2"/>
  </r>
  <r>
    <s v="TX502330"/>
    <x v="3"/>
    <x v="2"/>
    <n v="80.599999999999994"/>
    <n v="241.79999999999998"/>
    <x v="85"/>
    <d v="2025-03-28T00:00:00"/>
    <s v="M"/>
    <x v="4"/>
    <x v="1"/>
    <x v="0"/>
    <x v="19"/>
    <n v="1"/>
    <x v="12"/>
    <x v="1"/>
  </r>
  <r>
    <s v="TX502331"/>
    <x v="1"/>
    <x v="20"/>
    <n v="70"/>
    <n v="1050"/>
    <x v="85"/>
    <d v="2025-03-29T00:00:00"/>
    <s v="M"/>
    <x v="0"/>
    <x v="0"/>
    <x v="0"/>
    <x v="20"/>
    <n v="2"/>
    <x v="12"/>
    <x v="1"/>
  </r>
  <r>
    <s v="TX502332"/>
    <x v="4"/>
    <x v="13"/>
    <n v="27.3"/>
    <n v="163.80000000000001"/>
    <x v="85"/>
    <d v="2025-03-29T00:00:00"/>
    <s v="F"/>
    <x v="1"/>
    <x v="1"/>
    <x v="0"/>
    <x v="2"/>
    <n v="2"/>
    <x v="12"/>
    <x v="2"/>
  </r>
  <r>
    <s v="TX502333"/>
    <x v="8"/>
    <x v="21"/>
    <n v="37.6"/>
    <n v="526.4"/>
    <x v="85"/>
    <d v="2025-03-29T00:00:00"/>
    <s v="M"/>
    <x v="1"/>
    <x v="0"/>
    <x v="0"/>
    <x v="3"/>
    <n v="2"/>
    <x v="12"/>
    <x v="1"/>
  </r>
  <r>
    <s v="TX502334"/>
    <x v="5"/>
    <x v="2"/>
    <n v="36.6"/>
    <n v="109.80000000000001"/>
    <x v="85"/>
    <d v="2025-03-29T00:00:00"/>
    <s v="F"/>
    <x v="4"/>
    <x v="0"/>
    <x v="0"/>
    <x v="3"/>
    <n v="2"/>
    <x v="12"/>
    <x v="2"/>
  </r>
  <r>
    <s v="TX502335"/>
    <x v="13"/>
    <x v="0"/>
    <n v="55.2"/>
    <n v="55.2"/>
    <x v="85"/>
    <d v="2025-03-29T00:00:00"/>
    <s v="M"/>
    <x v="3"/>
    <x v="0"/>
    <x v="0"/>
    <x v="3"/>
    <n v="2"/>
    <x v="12"/>
    <x v="1"/>
  </r>
  <r>
    <s v="TX502336"/>
    <x v="6"/>
    <x v="9"/>
    <n v="59.9"/>
    <n v="299.5"/>
    <x v="85"/>
    <d v="2025-03-29T00:00:00"/>
    <s v="M"/>
    <x v="0"/>
    <x v="0"/>
    <x v="0"/>
    <x v="3"/>
    <n v="2"/>
    <x v="12"/>
    <x v="1"/>
  </r>
  <r>
    <s v="TX502337"/>
    <x v="6"/>
    <x v="0"/>
    <n v="44"/>
    <n v="44"/>
    <x v="85"/>
    <d v="2025-03-28T00:00:00"/>
    <s v="F"/>
    <x v="2"/>
    <x v="2"/>
    <x v="0"/>
    <x v="3"/>
    <n v="1"/>
    <x v="12"/>
    <x v="2"/>
  </r>
  <r>
    <s v="TX502338"/>
    <x v="9"/>
    <x v="1"/>
    <n v="68.7"/>
    <n v="137.4"/>
    <x v="85"/>
    <d v="2025-03-27T00:00:00"/>
    <s v="M"/>
    <x v="0"/>
    <x v="0"/>
    <x v="0"/>
    <x v="3"/>
    <n v="0"/>
    <x v="12"/>
    <x v="1"/>
  </r>
  <r>
    <s v="TX502339"/>
    <x v="5"/>
    <x v="1"/>
    <n v="61.6"/>
    <n v="123.2"/>
    <x v="85"/>
    <d v="2025-03-31T00:00:00"/>
    <s v="M"/>
    <x v="3"/>
    <x v="1"/>
    <x v="0"/>
    <x v="3"/>
    <n v="4"/>
    <x v="12"/>
    <x v="1"/>
  </r>
  <r>
    <s v="TX502340"/>
    <x v="7"/>
    <x v="3"/>
    <n v="51.8"/>
    <n v="362.59999999999997"/>
    <x v="85"/>
    <d v="2025-03-28T00:00:00"/>
    <s v="M"/>
    <x v="0"/>
    <x v="0"/>
    <x v="0"/>
    <x v="3"/>
    <n v="1"/>
    <x v="12"/>
    <x v="1"/>
  </r>
  <r>
    <s v="TX502341"/>
    <x v="8"/>
    <x v="7"/>
    <n v="46.2"/>
    <n v="462"/>
    <x v="85"/>
    <d v="2025-03-29T00:00:00"/>
    <s v="M"/>
    <x v="1"/>
    <x v="2"/>
    <x v="0"/>
    <x v="3"/>
    <n v="2"/>
    <x v="12"/>
    <x v="1"/>
  </r>
  <r>
    <s v="TX502342"/>
    <x v="0"/>
    <x v="1"/>
    <n v="19.399999999999999"/>
    <n v="38.799999999999997"/>
    <x v="85"/>
    <d v="2025-03-29T00:00:00"/>
    <s v="F"/>
    <x v="1"/>
    <x v="2"/>
    <x v="0"/>
    <x v="6"/>
    <n v="2"/>
    <x v="12"/>
    <x v="2"/>
  </r>
  <r>
    <s v="TX502343"/>
    <x v="11"/>
    <x v="2"/>
    <n v="52.1"/>
    <n v="156.30000000000001"/>
    <x v="85"/>
    <d v="2025-03-30T00:00:00"/>
    <s v="M"/>
    <x v="3"/>
    <x v="3"/>
    <x v="0"/>
    <x v="6"/>
    <n v="3"/>
    <x v="12"/>
    <x v="1"/>
  </r>
  <r>
    <s v="TX502344"/>
    <x v="6"/>
    <x v="0"/>
    <n v="74.900000000000006"/>
    <n v="74.900000000000006"/>
    <x v="85"/>
    <d v="2025-03-29T00:00:00"/>
    <s v="O"/>
    <x v="0"/>
    <x v="0"/>
    <x v="0"/>
    <x v="7"/>
    <n v="2"/>
    <x v="12"/>
    <x v="3"/>
  </r>
  <r>
    <s v="TX502345"/>
    <x v="9"/>
    <x v="3"/>
    <n v="49.6"/>
    <n v="347.2"/>
    <x v="85"/>
    <d v="2025-03-30T00:00:00"/>
    <s v="F"/>
    <x v="4"/>
    <x v="0"/>
    <x v="0"/>
    <x v="8"/>
    <n v="3"/>
    <x v="12"/>
    <x v="2"/>
  </r>
  <r>
    <s v="TX502346"/>
    <x v="16"/>
    <x v="12"/>
    <n v="82.8"/>
    <n v="331.2"/>
    <x v="86"/>
    <d v="2025-03-31T00:00:00"/>
    <s v="F"/>
    <x v="4"/>
    <x v="0"/>
    <x v="0"/>
    <x v="8"/>
    <n v="3"/>
    <x v="12"/>
    <x v="2"/>
  </r>
  <r>
    <s v="TX502347"/>
    <x v="2"/>
    <x v="0"/>
    <n v="97.7"/>
    <n v="97.7"/>
    <x v="86"/>
    <d v="2025-03-29T00:00:00"/>
    <s v="F"/>
    <x v="1"/>
    <x v="0"/>
    <x v="0"/>
    <x v="8"/>
    <n v="1"/>
    <x v="12"/>
    <x v="2"/>
  </r>
  <r>
    <s v="TX502348"/>
    <x v="6"/>
    <x v="9"/>
    <n v="83.6"/>
    <n v="418"/>
    <x v="86"/>
    <d v="2025-03-29T00:00:00"/>
    <s v="F"/>
    <x v="4"/>
    <x v="0"/>
    <x v="0"/>
    <x v="8"/>
    <n v="1"/>
    <x v="12"/>
    <x v="2"/>
  </r>
  <r>
    <s v="TX502349"/>
    <x v="8"/>
    <x v="9"/>
    <n v="23.5"/>
    <n v="117.5"/>
    <x v="86"/>
    <d v="2025-04-01T00:00:00"/>
    <s v="O"/>
    <x v="0"/>
    <x v="0"/>
    <x v="0"/>
    <x v="8"/>
    <n v="4"/>
    <x v="12"/>
    <x v="3"/>
  </r>
  <r>
    <s v="TX502350"/>
    <x v="9"/>
    <x v="2"/>
    <n v="44.6"/>
    <n v="133.80000000000001"/>
    <x v="86"/>
    <d v="2025-03-31T00:00:00"/>
    <s v="F"/>
    <x v="4"/>
    <x v="1"/>
    <x v="0"/>
    <x v="26"/>
    <n v="3"/>
    <x v="12"/>
    <x v="2"/>
  </r>
  <r>
    <s v="TX502351"/>
    <x v="0"/>
    <x v="2"/>
    <n v="20.100000000000001"/>
    <n v="60.300000000000004"/>
    <x v="86"/>
    <d v="2025-03-30T00:00:00"/>
    <s v="F"/>
    <x v="3"/>
    <x v="4"/>
    <x v="0"/>
    <x v="11"/>
    <n v="2"/>
    <x v="12"/>
    <x v="2"/>
  </r>
  <r>
    <s v="TX502352"/>
    <x v="2"/>
    <x v="9"/>
    <n v="153.6"/>
    <n v="768"/>
    <x v="86"/>
    <d v="2025-03-29T00:00:00"/>
    <s v="F"/>
    <x v="1"/>
    <x v="2"/>
    <x v="0"/>
    <x v="53"/>
    <n v="1"/>
    <x v="12"/>
    <x v="2"/>
  </r>
  <r>
    <s v="TX502353"/>
    <x v="1"/>
    <x v="1"/>
    <n v="71.8"/>
    <n v="143.6"/>
    <x v="86"/>
    <d v="2025-04-01T00:00:00"/>
    <s v="F"/>
    <x v="1"/>
    <x v="0"/>
    <x v="0"/>
    <x v="1"/>
    <n v="4"/>
    <x v="12"/>
    <x v="2"/>
  </r>
  <r>
    <s v="TX502354"/>
    <x v="10"/>
    <x v="0"/>
    <n v="64.7"/>
    <n v="64.7"/>
    <x v="86"/>
    <d v="2025-03-30T00:00:00"/>
    <s v=""/>
    <x v="0"/>
    <x v="1"/>
    <x v="0"/>
    <x v="1"/>
    <n v="2"/>
    <x v="12"/>
    <x v="0"/>
  </r>
  <r>
    <s v="TX502355"/>
    <x v="9"/>
    <x v="8"/>
    <n v="60.4"/>
    <n v="483.2"/>
    <x v="86"/>
    <d v="2025-03-30T00:00:00"/>
    <s v="F"/>
    <x v="3"/>
    <x v="2"/>
    <x v="0"/>
    <x v="2"/>
    <n v="2"/>
    <x v="12"/>
    <x v="2"/>
  </r>
  <r>
    <s v="TX502356"/>
    <x v="6"/>
    <x v="12"/>
    <n v="86"/>
    <n v="344"/>
    <x v="86"/>
    <d v="2025-03-31T00:00:00"/>
    <s v="F"/>
    <x v="2"/>
    <x v="2"/>
    <x v="0"/>
    <x v="22"/>
    <n v="3"/>
    <x v="12"/>
    <x v="2"/>
  </r>
  <r>
    <s v="TX502357"/>
    <x v="12"/>
    <x v="1"/>
    <n v="42.1"/>
    <n v="84.2"/>
    <x v="86"/>
    <d v="2025-03-29T00:00:00"/>
    <s v="F"/>
    <x v="4"/>
    <x v="1"/>
    <x v="0"/>
    <x v="34"/>
    <n v="1"/>
    <x v="12"/>
    <x v="2"/>
  </r>
  <r>
    <s v="TX502358"/>
    <x v="16"/>
    <x v="11"/>
    <n v="51.1"/>
    <n v="459.90000000000003"/>
    <x v="86"/>
    <d v="2025-03-29T00:00:00"/>
    <s v="M"/>
    <x v="2"/>
    <x v="1"/>
    <x v="0"/>
    <x v="3"/>
    <n v="1"/>
    <x v="12"/>
    <x v="1"/>
  </r>
  <r>
    <s v="TX502359"/>
    <x v="9"/>
    <x v="12"/>
    <n v="73.8"/>
    <n v="295.2"/>
    <x v="86"/>
    <d v="2025-03-29T00:00:00"/>
    <s v="M"/>
    <x v="4"/>
    <x v="0"/>
    <x v="0"/>
    <x v="3"/>
    <n v="1"/>
    <x v="12"/>
    <x v="1"/>
  </r>
  <r>
    <s v="TX502360"/>
    <x v="8"/>
    <x v="9"/>
    <n v="27"/>
    <n v="135"/>
    <x v="86"/>
    <d v="2025-03-31T00:00:00"/>
    <s v="F"/>
    <x v="2"/>
    <x v="2"/>
    <x v="0"/>
    <x v="3"/>
    <n v="3"/>
    <x v="12"/>
    <x v="2"/>
  </r>
  <r>
    <s v="TX502361"/>
    <x v="8"/>
    <x v="13"/>
    <n v="60.1"/>
    <n v="360.6"/>
    <x v="86"/>
    <d v="2025-03-29T00:00:00"/>
    <s v="M"/>
    <x v="3"/>
    <x v="0"/>
    <x v="0"/>
    <x v="3"/>
    <n v="1"/>
    <x v="12"/>
    <x v="1"/>
  </r>
  <r>
    <s v="TX502362"/>
    <x v="2"/>
    <x v="3"/>
    <n v="94.1"/>
    <n v="658.69999999999993"/>
    <x v="86"/>
    <d v="2025-03-30T00:00:00"/>
    <s v="F"/>
    <x v="4"/>
    <x v="1"/>
    <x v="0"/>
    <x v="3"/>
    <n v="2"/>
    <x v="12"/>
    <x v="2"/>
  </r>
  <r>
    <s v="TX502363"/>
    <x v="2"/>
    <x v="1"/>
    <n v="124.1"/>
    <n v="248.2"/>
    <x v="86"/>
    <d v="2025-03-28T00:00:00"/>
    <s v="F"/>
    <x v="2"/>
    <x v="3"/>
    <x v="0"/>
    <x v="43"/>
    <n v="0"/>
    <x v="12"/>
    <x v="2"/>
  </r>
  <r>
    <s v="TX502364"/>
    <x v="8"/>
    <x v="12"/>
    <n v="16.899999999999999"/>
    <n v="67.599999999999994"/>
    <x v="86"/>
    <d v="2025-03-31T00:00:00"/>
    <s v="M"/>
    <x v="3"/>
    <x v="0"/>
    <x v="0"/>
    <x v="6"/>
    <n v="3"/>
    <x v="12"/>
    <x v="1"/>
  </r>
  <r>
    <s v="TX502365"/>
    <x v="1"/>
    <x v="0"/>
    <n v="36.9"/>
    <n v="36.9"/>
    <x v="86"/>
    <d v="2025-03-29T00:00:00"/>
    <s v="M"/>
    <x v="0"/>
    <x v="0"/>
    <x v="0"/>
    <x v="6"/>
    <n v="1"/>
    <x v="12"/>
    <x v="1"/>
  </r>
  <r>
    <s v="TX502366"/>
    <x v="9"/>
    <x v="1"/>
    <n v="22.6"/>
    <n v="45.2"/>
    <x v="86"/>
    <d v="2025-04-10T00:00:00"/>
    <s v="F"/>
    <x v="2"/>
    <x v="1"/>
    <x v="0"/>
    <x v="8"/>
    <n v="13"/>
    <x v="12"/>
    <x v="2"/>
  </r>
  <r>
    <s v="TX502367"/>
    <x v="7"/>
    <x v="12"/>
    <n v="35"/>
    <n v="140"/>
    <x v="86"/>
    <d v="2025-04-02T00:00:00"/>
    <s v="M"/>
    <x v="3"/>
    <x v="1"/>
    <x v="0"/>
    <x v="8"/>
    <n v="5"/>
    <x v="12"/>
    <x v="1"/>
  </r>
  <r>
    <s v="TX502368"/>
    <x v="9"/>
    <x v="13"/>
    <n v="63.6"/>
    <n v="381.6"/>
    <x v="86"/>
    <d v="2025-04-04T00:00:00"/>
    <s v=""/>
    <x v="1"/>
    <x v="2"/>
    <x v="0"/>
    <x v="8"/>
    <n v="7"/>
    <x v="12"/>
    <x v="0"/>
  </r>
  <r>
    <s v="TX502369"/>
    <x v="15"/>
    <x v="12"/>
    <n v="78.599999999999994"/>
    <n v="314.39999999999998"/>
    <x v="86"/>
    <d v="2025-03-29T00:00:00"/>
    <s v="M"/>
    <x v="4"/>
    <x v="1"/>
    <x v="0"/>
    <x v="8"/>
    <n v="1"/>
    <x v="12"/>
    <x v="1"/>
  </r>
  <r>
    <s v="TX502370"/>
    <x v="3"/>
    <x v="1"/>
    <n v="38.5"/>
    <n v="77"/>
    <x v="86"/>
    <d v="2025-03-29T00:00:00"/>
    <s v="M"/>
    <x v="0"/>
    <x v="2"/>
    <x v="0"/>
    <x v="8"/>
    <n v="1"/>
    <x v="12"/>
    <x v="1"/>
  </r>
  <r>
    <s v="TX502371"/>
    <x v="8"/>
    <x v="5"/>
    <n v="71.5"/>
    <n v="786.5"/>
    <x v="86"/>
    <d v="2025-03-29T00:00:00"/>
    <s v="F"/>
    <x v="1"/>
    <x v="4"/>
    <x v="0"/>
    <x v="8"/>
    <n v="1"/>
    <x v="12"/>
    <x v="2"/>
  </r>
  <r>
    <s v="TX502372"/>
    <x v="6"/>
    <x v="12"/>
    <n v="121.4"/>
    <n v="485.6"/>
    <x v="86"/>
    <d v="2025-04-01T00:00:00"/>
    <s v="M"/>
    <x v="1"/>
    <x v="2"/>
    <x v="0"/>
    <x v="17"/>
    <n v="4"/>
    <x v="12"/>
    <x v="1"/>
  </r>
  <r>
    <s v="TX502373"/>
    <x v="11"/>
    <x v="0"/>
    <n v="40.200000000000003"/>
    <n v="40.200000000000003"/>
    <x v="86"/>
    <d v="2025-03-31T00:00:00"/>
    <s v="F"/>
    <x v="0"/>
    <x v="2"/>
    <x v="0"/>
    <x v="11"/>
    <n v="3"/>
    <x v="12"/>
    <x v="2"/>
  </r>
  <r>
    <s v="TX502374"/>
    <x v="5"/>
    <x v="9"/>
    <n v="31.9"/>
    <n v="159.5"/>
    <x v="86"/>
    <d v="2025-03-30T00:00:00"/>
    <s v="F"/>
    <x v="2"/>
    <x v="2"/>
    <x v="0"/>
    <x v="28"/>
    <n v="2"/>
    <x v="12"/>
    <x v="2"/>
  </r>
  <r>
    <s v="TX502375"/>
    <x v="14"/>
    <x v="9"/>
    <n v="15.8"/>
    <n v="79"/>
    <x v="87"/>
    <d v="2025-03-30T00:00:00"/>
    <s v="M"/>
    <x v="3"/>
    <x v="2"/>
    <x v="0"/>
    <x v="21"/>
    <n v="1"/>
    <x v="12"/>
    <x v="1"/>
  </r>
  <r>
    <s v="TX502376"/>
    <x v="10"/>
    <x v="1"/>
    <n v="25.1"/>
    <n v="50.2"/>
    <x v="87"/>
    <d v="2025-03-31T00:00:00"/>
    <s v=""/>
    <x v="1"/>
    <x v="0"/>
    <x v="0"/>
    <x v="21"/>
    <n v="2"/>
    <x v="12"/>
    <x v="0"/>
  </r>
  <r>
    <s v="TX502377"/>
    <x v="1"/>
    <x v="44"/>
    <n v="38.1"/>
    <n v="876.30000000000007"/>
    <x v="87"/>
    <d v="2025-03-30T00:00:00"/>
    <s v="F"/>
    <x v="4"/>
    <x v="0"/>
    <x v="0"/>
    <x v="1"/>
    <n v="1"/>
    <x v="12"/>
    <x v="2"/>
  </r>
  <r>
    <s v="TX502378"/>
    <x v="3"/>
    <x v="1"/>
    <n v="42.2"/>
    <n v="84.4"/>
    <x v="87"/>
    <d v="2025-03-31T00:00:00"/>
    <s v="F"/>
    <x v="0"/>
    <x v="2"/>
    <x v="0"/>
    <x v="1"/>
    <n v="2"/>
    <x v="12"/>
    <x v="2"/>
  </r>
  <r>
    <s v="TX502379"/>
    <x v="0"/>
    <x v="7"/>
    <n v="12.3"/>
    <n v="123"/>
    <x v="87"/>
    <d v="2025-03-30T00:00:00"/>
    <s v="F"/>
    <x v="4"/>
    <x v="0"/>
    <x v="0"/>
    <x v="2"/>
    <n v="1"/>
    <x v="12"/>
    <x v="2"/>
  </r>
  <r>
    <s v="TX502380"/>
    <x v="7"/>
    <x v="0"/>
    <n v="30.2"/>
    <n v="30.2"/>
    <x v="87"/>
    <d v="2025-03-31T00:00:00"/>
    <s v="F"/>
    <x v="1"/>
    <x v="2"/>
    <x v="0"/>
    <x v="34"/>
    <n v="2"/>
    <x v="12"/>
    <x v="2"/>
  </r>
  <r>
    <s v="TX502381"/>
    <x v="5"/>
    <x v="2"/>
    <n v="25.3"/>
    <n v="75.900000000000006"/>
    <x v="87"/>
    <d v="2025-04-01T00:00:00"/>
    <s v="F"/>
    <x v="2"/>
    <x v="0"/>
    <x v="0"/>
    <x v="3"/>
    <n v="3"/>
    <x v="12"/>
    <x v="2"/>
  </r>
  <r>
    <s v="TX502382"/>
    <x v="8"/>
    <x v="9"/>
    <n v="29.7"/>
    <n v="148.5"/>
    <x v="87"/>
    <d v="2025-03-31T00:00:00"/>
    <s v="M"/>
    <x v="3"/>
    <x v="0"/>
    <x v="0"/>
    <x v="3"/>
    <n v="2"/>
    <x v="12"/>
    <x v="1"/>
  </r>
  <r>
    <s v="TX502383"/>
    <x v="9"/>
    <x v="8"/>
    <n v="32.9"/>
    <n v="263.2"/>
    <x v="87"/>
    <d v="2025-03-30T00:00:00"/>
    <s v=""/>
    <x v="3"/>
    <x v="2"/>
    <x v="0"/>
    <x v="3"/>
    <n v="1"/>
    <x v="12"/>
    <x v="0"/>
  </r>
  <r>
    <s v="TX502384"/>
    <x v="10"/>
    <x v="1"/>
    <n v="43.6"/>
    <n v="87.2"/>
    <x v="87"/>
    <d v="2025-03-30T00:00:00"/>
    <s v="M"/>
    <x v="1"/>
    <x v="2"/>
    <x v="0"/>
    <x v="3"/>
    <n v="1"/>
    <x v="12"/>
    <x v="1"/>
  </r>
  <r>
    <s v="TX502385"/>
    <x v="15"/>
    <x v="12"/>
    <n v="78.400000000000006"/>
    <n v="313.60000000000002"/>
    <x v="87"/>
    <d v="2025-03-30T00:00:00"/>
    <s v="M"/>
    <x v="2"/>
    <x v="0"/>
    <x v="0"/>
    <x v="3"/>
    <n v="1"/>
    <x v="12"/>
    <x v="1"/>
  </r>
  <r>
    <s v="TX502386"/>
    <x v="6"/>
    <x v="1"/>
    <n v="56.5"/>
    <n v="113"/>
    <x v="87"/>
    <d v="2025-04-02T00:00:00"/>
    <s v="M"/>
    <x v="1"/>
    <x v="1"/>
    <x v="0"/>
    <x v="3"/>
    <n v="4"/>
    <x v="12"/>
    <x v="1"/>
  </r>
  <r>
    <s v="TX502387"/>
    <x v="16"/>
    <x v="0"/>
    <n v="36.700000000000003"/>
    <n v="36.700000000000003"/>
    <x v="87"/>
    <d v="2025-03-30T00:00:00"/>
    <s v="F"/>
    <x v="0"/>
    <x v="2"/>
    <x v="0"/>
    <x v="3"/>
    <n v="1"/>
    <x v="12"/>
    <x v="2"/>
  </r>
  <r>
    <s v="TX502388"/>
    <x v="2"/>
    <x v="12"/>
    <n v="103.6"/>
    <n v="414.4"/>
    <x v="87"/>
    <d v="2025-04-09T00:00:00"/>
    <s v="M"/>
    <x v="4"/>
    <x v="2"/>
    <x v="0"/>
    <x v="3"/>
    <n v="11"/>
    <x v="12"/>
    <x v="1"/>
  </r>
  <r>
    <s v="TX502389"/>
    <x v="8"/>
    <x v="13"/>
    <n v="16.2"/>
    <n v="97.199999999999989"/>
    <x v="87"/>
    <d v="2025-04-02T00:00:00"/>
    <s v="M"/>
    <x v="1"/>
    <x v="2"/>
    <x v="0"/>
    <x v="6"/>
    <n v="4"/>
    <x v="12"/>
    <x v="1"/>
  </r>
  <r>
    <s v="TX502390"/>
    <x v="8"/>
    <x v="1"/>
    <n v="20.2"/>
    <n v="40.4"/>
    <x v="87"/>
    <d v="2025-03-30T00:00:00"/>
    <s v="F"/>
    <x v="0"/>
    <x v="0"/>
    <x v="0"/>
    <x v="6"/>
    <n v="1"/>
    <x v="12"/>
    <x v="2"/>
  </r>
  <r>
    <s v="TX502391"/>
    <x v="11"/>
    <x v="1"/>
    <n v="26.9"/>
    <n v="53.8"/>
    <x v="87"/>
    <d v="2025-03-31T00:00:00"/>
    <s v="F"/>
    <x v="2"/>
    <x v="0"/>
    <x v="0"/>
    <x v="6"/>
    <n v="2"/>
    <x v="12"/>
    <x v="2"/>
  </r>
  <r>
    <s v="TX502392"/>
    <x v="1"/>
    <x v="1"/>
    <n v="82.4"/>
    <n v="164.8"/>
    <x v="87"/>
    <d v="2025-04-01T00:00:00"/>
    <s v=""/>
    <x v="0"/>
    <x v="0"/>
    <x v="0"/>
    <x v="7"/>
    <n v="3"/>
    <x v="12"/>
    <x v="0"/>
  </r>
  <r>
    <s v="TX502393"/>
    <x v="2"/>
    <x v="1"/>
    <n v="117.8"/>
    <n v="235.6"/>
    <x v="87"/>
    <d v="2025-03-31T00:00:00"/>
    <s v="M"/>
    <x v="1"/>
    <x v="2"/>
    <x v="0"/>
    <x v="8"/>
    <n v="2"/>
    <x v="12"/>
    <x v="1"/>
  </r>
  <r>
    <s v="TX502394"/>
    <x v="11"/>
    <x v="12"/>
    <n v="36.700000000000003"/>
    <n v="146.80000000000001"/>
    <x v="87"/>
    <d v="2025-03-30T00:00:00"/>
    <s v="M"/>
    <x v="1"/>
    <x v="0"/>
    <x v="0"/>
    <x v="8"/>
    <n v="1"/>
    <x v="12"/>
    <x v="1"/>
  </r>
  <r>
    <s v="TX502395"/>
    <x v="17"/>
    <x v="2"/>
    <n v="46.8"/>
    <n v="140.39999999999998"/>
    <x v="87"/>
    <d v="2025-03-30T00:00:00"/>
    <s v="M"/>
    <x v="4"/>
    <x v="2"/>
    <x v="0"/>
    <x v="10"/>
    <n v="1"/>
    <x v="12"/>
    <x v="1"/>
  </r>
  <r>
    <s v="TX502396"/>
    <x v="3"/>
    <x v="0"/>
    <n v="61.4"/>
    <n v="61.4"/>
    <x v="87"/>
    <d v="2025-03-30T00:00:00"/>
    <s v="M"/>
    <x v="1"/>
    <x v="0"/>
    <x v="0"/>
    <x v="10"/>
    <n v="1"/>
    <x v="12"/>
    <x v="1"/>
  </r>
  <r>
    <s v="TX502397"/>
    <x v="15"/>
    <x v="1"/>
    <n v="22.9"/>
    <n v="45.8"/>
    <x v="87"/>
    <d v="2025-03-30T00:00:00"/>
    <s v="M"/>
    <x v="0"/>
    <x v="0"/>
    <x v="0"/>
    <x v="11"/>
    <n v="1"/>
    <x v="12"/>
    <x v="1"/>
  </r>
  <r>
    <s v="TX502398"/>
    <x v="10"/>
    <x v="1"/>
    <n v="22.1"/>
    <n v="44.2"/>
    <x v="87"/>
    <d v="2025-03-30T00:00:00"/>
    <s v="F"/>
    <x v="4"/>
    <x v="0"/>
    <x v="0"/>
    <x v="11"/>
    <n v="1"/>
    <x v="12"/>
    <x v="2"/>
  </r>
  <r>
    <s v="TX502399"/>
    <x v="12"/>
    <x v="1"/>
    <n v="31"/>
    <n v="62"/>
    <x v="87"/>
    <d v="2025-03-31T00:00:00"/>
    <s v="F"/>
    <x v="2"/>
    <x v="0"/>
    <x v="0"/>
    <x v="18"/>
    <n v="2"/>
    <x v="12"/>
    <x v="2"/>
  </r>
  <r>
    <s v="TX502400"/>
    <x v="18"/>
    <x v="1"/>
    <n v="84.2"/>
    <n v="168.4"/>
    <x v="87"/>
    <d v="2025-03-31T00:00:00"/>
    <s v="M"/>
    <x v="2"/>
    <x v="2"/>
    <x v="0"/>
    <x v="13"/>
    <n v="2"/>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E4F90E-0397-4254-9977-80A0AA7FA1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O14" firstHeaderRow="0" firstDataRow="1" firstDataCol="0"/>
  <pivotFields count="17">
    <pivotField dataField="1" showAll="0"/>
    <pivotField showAll="0"/>
    <pivotField dataField="1"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E7970D-C459-4F0A-B2C3-D81726E0B5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location ref="A10:C24" firstHeaderRow="0" firstDataRow="1" firstDataCol="1"/>
  <pivotFields count="17">
    <pivotField showAll="0"/>
    <pivotField showAll="0"/>
    <pivotField dataField="1"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57"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1"/>
          </reference>
        </references>
      </pivotArea>
    </chartFormat>
    <chartFormat chart="64" format="2" series="1">
      <pivotArea type="data" outline="0" fieldPosition="0">
        <references count="1">
          <reference field="4294967294" count="1" selected="0">
            <x v="0"/>
          </reference>
        </references>
      </pivotArea>
    </chartFormat>
    <chartFormat chart="64" format="3" series="1">
      <pivotArea type="data" outline="0" fieldPosition="0">
        <references count="1">
          <reference field="4294967294" count="1" selected="0">
            <x v="1"/>
          </reference>
        </references>
      </pivotArea>
    </chartFormat>
    <chartFormat chart="65" format="4"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0C0395-FA63-4355-B2E2-86DE053EF0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dataField="1" showAll="0"/>
    <pivotField showAll="0"/>
    <pivotField dataField="1"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65D472-FF73-4114-9039-5D4E179521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17">
    <pivotField showAll="0"/>
    <pivotField showAll="0">
      <items count="21">
        <item x="14"/>
        <item x="10"/>
        <item x="12"/>
        <item x="15"/>
        <item x="4"/>
        <item x="7"/>
        <item x="6"/>
        <item x="19"/>
        <item x="18"/>
        <item x="11"/>
        <item x="17"/>
        <item x="5"/>
        <item x="0"/>
        <item x="2"/>
        <item x="9"/>
        <item x="16"/>
        <item x="1"/>
        <item x="13"/>
        <item x="8"/>
        <item x="3"/>
        <item t="default"/>
      </items>
    </pivotField>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DE7D6C-72D2-4674-9316-8CFD7E85E1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17">
    <pivotField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items count="2">
        <item x="0"/>
        <item t="default"/>
      </items>
    </pivotField>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axis="axisRow"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6750E3-3397-41C7-8FBA-E560C43CA1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7">
    <pivotField showAll="0"/>
    <pivotField showAll="0"/>
    <pivotField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6DEFC4-45D0-4732-AD5A-8EE5AA3E2C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s">
  <location ref="A3:B24" firstHeaderRow="1" firstDataRow="1" firstDataCol="1"/>
  <pivotFields count="17">
    <pivotField showAll="0"/>
    <pivotField axis="axisRow" showAll="0">
      <items count="21">
        <item x="14"/>
        <item x="10"/>
        <item x="12"/>
        <item x="15"/>
        <item x="4"/>
        <item x="7"/>
        <item x="6"/>
        <item x="19"/>
        <item x="18"/>
        <item x="11"/>
        <item x="17"/>
        <item x="5"/>
        <item x="0"/>
        <item x="2"/>
        <item x="9"/>
        <item x="16"/>
        <item x="1"/>
        <item x="13"/>
        <item x="8"/>
        <item x="3"/>
        <item t="default"/>
      </items>
    </pivotField>
    <pivotField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A31372-2956-4F0D-9A70-13E1E3810D85}"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36">
  <location ref="A52:D112" firstHeaderRow="0" firstDataRow="1" firstDataCol="2"/>
  <pivotFields count="17">
    <pivotField compact="0" outline="0" showAll="0">
      <extLst>
        <ext xmlns:x14="http://schemas.microsoft.com/office/spreadsheetml/2009/9/main" uri="{2946ED86-A175-432a-8AC1-64E0C546D7DE}">
          <x14:pivotField fillDownLabels="1"/>
        </ext>
      </extLst>
    </pivotField>
    <pivotField compact="0" outline="0"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chartFormats count="2">
    <chartFormat chart="25" format="0" series="1">
      <pivotArea type="data" outline="0" fieldPosition="0">
        <references count="1">
          <reference field="4294967294" count="1" selected="0">
            <x v="1"/>
          </reference>
        </references>
      </pivotArea>
    </chartFormat>
    <chartFormat chart="2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C6FE6E-58A5-4B2E-A5CB-AB79AB4AF2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O8:P13"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Amount" fld="4" baseField="0" baseItem="0"/>
  </dataFields>
  <chartFormats count="22">
    <chartFormat chart="10" format="0" series="1">
      <pivotArea type="data" outline="0" fieldPosition="0">
        <references count="2">
          <reference field="4294967294" count="1" selected="0">
            <x v="0"/>
          </reference>
          <reference field="14" count="1" selected="0">
            <x v="0"/>
          </reference>
        </references>
      </pivotArea>
    </chartFormat>
    <chartFormat chart="10" format="1" series="1">
      <pivotArea type="data" outline="0" fieldPosition="0">
        <references count="2">
          <reference field="4294967294" count="1" selected="0">
            <x v="0"/>
          </reference>
          <reference field="14" count="1" selected="0">
            <x v="1"/>
          </reference>
        </references>
      </pivotArea>
    </chartFormat>
    <chartFormat chart="10" format="2" series="1">
      <pivotArea type="data" outline="0" fieldPosition="0">
        <references count="2">
          <reference field="4294967294" count="1" selected="0">
            <x v="0"/>
          </reference>
          <reference field="14" count="1" selected="0">
            <x v="2"/>
          </reference>
        </references>
      </pivotArea>
    </chartFormat>
    <chartFormat chart="10" format="3" series="1">
      <pivotArea type="data" outline="0" fieldPosition="0">
        <references count="2">
          <reference field="4294967294" count="1" selected="0">
            <x v="0"/>
          </reference>
          <reference field="14" count="1" selected="0">
            <x v="3"/>
          </reference>
        </references>
      </pivotArea>
    </chartFormat>
    <chartFormat chart="14" format="8" series="1">
      <pivotArea type="data" outline="0" fieldPosition="0">
        <references count="2">
          <reference field="4294967294" count="1" selected="0">
            <x v="0"/>
          </reference>
          <reference field="14" count="1" selected="0">
            <x v="0"/>
          </reference>
        </references>
      </pivotArea>
    </chartFormat>
    <chartFormat chart="14" format="9" series="1">
      <pivotArea type="data" outline="0" fieldPosition="0">
        <references count="2">
          <reference field="4294967294" count="1" selected="0">
            <x v="0"/>
          </reference>
          <reference field="14" count="1" selected="0">
            <x v="1"/>
          </reference>
        </references>
      </pivotArea>
    </chartFormat>
    <chartFormat chart="14" format="10" series="1">
      <pivotArea type="data" outline="0" fieldPosition="0">
        <references count="2">
          <reference field="4294967294" count="1" selected="0">
            <x v="0"/>
          </reference>
          <reference field="14" count="1" selected="0">
            <x v="2"/>
          </reference>
        </references>
      </pivotArea>
    </chartFormat>
    <chartFormat chart="14" format="11" series="1">
      <pivotArea type="data" outline="0" fieldPosition="0">
        <references count="2">
          <reference field="4294967294" count="1" selected="0">
            <x v="0"/>
          </reference>
          <reference field="14" count="1" selected="0">
            <x v="3"/>
          </reference>
        </references>
      </pivotArea>
    </chartFormat>
    <chartFormat chart="18" format="4" series="1">
      <pivotArea type="data" outline="0" fieldPosition="0">
        <references count="2">
          <reference field="4294967294" count="1" selected="0">
            <x v="0"/>
          </reference>
          <reference field="14" count="1" selected="0">
            <x v="0"/>
          </reference>
        </references>
      </pivotArea>
    </chartFormat>
    <chartFormat chart="18" format="5" series="1">
      <pivotArea type="data" outline="0" fieldPosition="0">
        <references count="2">
          <reference field="4294967294" count="1" selected="0">
            <x v="0"/>
          </reference>
          <reference field="14" count="1" selected="0">
            <x v="1"/>
          </reference>
        </references>
      </pivotArea>
    </chartFormat>
    <chartFormat chart="18" format="6" series="1">
      <pivotArea type="data" outline="0" fieldPosition="0">
        <references count="2">
          <reference field="4294967294" count="1" selected="0">
            <x v="0"/>
          </reference>
          <reference field="14" count="1" selected="0">
            <x v="2"/>
          </reference>
        </references>
      </pivotArea>
    </chartFormat>
    <chartFormat chart="18" format="7" series="1">
      <pivotArea type="data" outline="0" fieldPosition="0">
        <references count="2">
          <reference field="4294967294" count="1" selected="0">
            <x v="0"/>
          </reference>
          <reference field="14" count="1" selected="0">
            <x v="3"/>
          </reference>
        </references>
      </pivotArea>
    </chartFormat>
    <chartFormat chart="19" format="8" series="1">
      <pivotArea type="data" outline="0" fieldPosition="0">
        <references count="2">
          <reference field="4294967294" count="1" selected="0">
            <x v="0"/>
          </reference>
          <reference field="14" count="1" selected="0">
            <x v="0"/>
          </reference>
        </references>
      </pivotArea>
    </chartFormat>
    <chartFormat chart="19" format="9" series="1">
      <pivotArea type="data" outline="0" fieldPosition="0">
        <references count="2">
          <reference field="4294967294" count="1" selected="0">
            <x v="0"/>
          </reference>
          <reference field="14" count="1" selected="0">
            <x v="1"/>
          </reference>
        </references>
      </pivotArea>
    </chartFormat>
    <chartFormat chart="19" format="10" series="1">
      <pivotArea type="data" outline="0" fieldPosition="0">
        <references count="2">
          <reference field="4294967294" count="1" selected="0">
            <x v="0"/>
          </reference>
          <reference field="14" count="1" selected="0">
            <x v="2"/>
          </reference>
        </references>
      </pivotArea>
    </chartFormat>
    <chartFormat chart="19" format="11" series="1">
      <pivotArea type="data" outline="0" fieldPosition="0">
        <references count="2">
          <reference field="4294967294" count="1" selected="0">
            <x v="0"/>
          </reference>
          <reference field="14" count="1" selected="0">
            <x v="3"/>
          </reference>
        </references>
      </pivotArea>
    </chartFormat>
    <chartFormat chart="25" format="0"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14" count="1" selected="0">
            <x v="0"/>
          </reference>
        </references>
      </pivotArea>
    </chartFormat>
    <chartFormat chart="28" format="8">
      <pivotArea type="data" outline="0" fieldPosition="0">
        <references count="2">
          <reference field="4294967294" count="1" selected="0">
            <x v="0"/>
          </reference>
          <reference field="14" count="1" selected="0">
            <x v="1"/>
          </reference>
        </references>
      </pivotArea>
    </chartFormat>
    <chartFormat chart="28" format="9">
      <pivotArea type="data" outline="0" fieldPosition="0">
        <references count="2">
          <reference field="4294967294" count="1" selected="0">
            <x v="0"/>
          </reference>
          <reference field="14" count="1" selected="0">
            <x v="2"/>
          </reference>
        </references>
      </pivotArea>
    </chartFormat>
    <chartFormat chart="28"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B475DD-9B33-4867-88DB-B1DA4DA099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L7:M12"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Amount" fld="4" baseField="0" baseItem="0"/>
  </dataFields>
  <chartFormats count="18">
    <chartFormat chart="10" format="0" series="1">
      <pivotArea type="data" outline="0" fieldPosition="0">
        <references count="2">
          <reference field="4294967294" count="1" selected="0">
            <x v="0"/>
          </reference>
          <reference field="14" count="1" selected="0">
            <x v="0"/>
          </reference>
        </references>
      </pivotArea>
    </chartFormat>
    <chartFormat chart="10" format="1" series="1">
      <pivotArea type="data" outline="0" fieldPosition="0">
        <references count="2">
          <reference field="4294967294" count="1" selected="0">
            <x v="0"/>
          </reference>
          <reference field="14" count="1" selected="0">
            <x v="1"/>
          </reference>
        </references>
      </pivotArea>
    </chartFormat>
    <chartFormat chart="10" format="2" series="1">
      <pivotArea type="data" outline="0" fieldPosition="0">
        <references count="2">
          <reference field="4294967294" count="1" selected="0">
            <x v="0"/>
          </reference>
          <reference field="14" count="1" selected="0">
            <x v="2"/>
          </reference>
        </references>
      </pivotArea>
    </chartFormat>
    <chartFormat chart="10" format="3" series="1">
      <pivotArea type="data" outline="0" fieldPosition="0">
        <references count="2">
          <reference field="4294967294" count="1" selected="0">
            <x v="0"/>
          </reference>
          <reference field="14" count="1" selected="0">
            <x v="3"/>
          </reference>
        </references>
      </pivotArea>
    </chartFormat>
    <chartFormat chart="14" format="8" series="1">
      <pivotArea type="data" outline="0" fieldPosition="0">
        <references count="2">
          <reference field="4294967294" count="1" selected="0">
            <x v="0"/>
          </reference>
          <reference field="14" count="1" selected="0">
            <x v="0"/>
          </reference>
        </references>
      </pivotArea>
    </chartFormat>
    <chartFormat chart="14" format="9" series="1">
      <pivotArea type="data" outline="0" fieldPosition="0">
        <references count="2">
          <reference field="4294967294" count="1" selected="0">
            <x v="0"/>
          </reference>
          <reference field="14" count="1" selected="0">
            <x v="1"/>
          </reference>
        </references>
      </pivotArea>
    </chartFormat>
    <chartFormat chart="14" format="10" series="1">
      <pivotArea type="data" outline="0" fieldPosition="0">
        <references count="2">
          <reference field="4294967294" count="1" selected="0">
            <x v="0"/>
          </reference>
          <reference field="14" count="1" selected="0">
            <x v="2"/>
          </reference>
        </references>
      </pivotArea>
    </chartFormat>
    <chartFormat chart="14" format="11" series="1">
      <pivotArea type="data" outline="0" fieldPosition="0">
        <references count="2">
          <reference field="4294967294" count="1" selected="0">
            <x v="0"/>
          </reference>
          <reference field="14" count="1" selected="0">
            <x v="3"/>
          </reference>
        </references>
      </pivotArea>
    </chartFormat>
    <chartFormat chart="18" format="4" series="1">
      <pivotArea type="data" outline="0" fieldPosition="0">
        <references count="2">
          <reference field="4294967294" count="1" selected="0">
            <x v="0"/>
          </reference>
          <reference field="14" count="1" selected="0">
            <x v="0"/>
          </reference>
        </references>
      </pivotArea>
    </chartFormat>
    <chartFormat chart="18" format="5" series="1">
      <pivotArea type="data" outline="0" fieldPosition="0">
        <references count="2">
          <reference field="4294967294" count="1" selected="0">
            <x v="0"/>
          </reference>
          <reference field="14" count="1" selected="0">
            <x v="1"/>
          </reference>
        </references>
      </pivotArea>
    </chartFormat>
    <chartFormat chart="18" format="6" series="1">
      <pivotArea type="data" outline="0" fieldPosition="0">
        <references count="2">
          <reference field="4294967294" count="1" selected="0">
            <x v="0"/>
          </reference>
          <reference field="14" count="1" selected="0">
            <x v="2"/>
          </reference>
        </references>
      </pivotArea>
    </chartFormat>
    <chartFormat chart="18" format="7" series="1">
      <pivotArea type="data" outline="0" fieldPosition="0">
        <references count="2">
          <reference field="4294967294" count="1" selected="0">
            <x v="0"/>
          </reference>
          <reference field="14" count="1" selected="0">
            <x v="3"/>
          </reference>
        </references>
      </pivotArea>
    </chartFormat>
    <chartFormat chart="19" format="8" series="1">
      <pivotArea type="data" outline="0" fieldPosition="0">
        <references count="2">
          <reference field="4294967294" count="1" selected="0">
            <x v="0"/>
          </reference>
          <reference field="14" count="1" selected="0">
            <x v="0"/>
          </reference>
        </references>
      </pivotArea>
    </chartFormat>
    <chartFormat chart="19" format="9" series="1">
      <pivotArea type="data" outline="0" fieldPosition="0">
        <references count="2">
          <reference field="4294967294" count="1" selected="0">
            <x v="0"/>
          </reference>
          <reference field="14" count="1" selected="0">
            <x v="1"/>
          </reference>
        </references>
      </pivotArea>
    </chartFormat>
    <chartFormat chart="19" format="10" series="1">
      <pivotArea type="data" outline="0" fieldPosition="0">
        <references count="2">
          <reference field="4294967294" count="1" selected="0">
            <x v="0"/>
          </reference>
          <reference field="14" count="1" selected="0">
            <x v="2"/>
          </reference>
        </references>
      </pivotArea>
    </chartFormat>
    <chartFormat chart="19" format="11" series="1">
      <pivotArea type="data" outline="0" fieldPosition="0">
        <references count="2">
          <reference field="4294967294" count="1" selected="0">
            <x v="0"/>
          </reference>
          <reference field="14" count="1" selected="0">
            <x v="3"/>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581551-C874-4506-860C-8908C23838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F2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3"/>
    </i>
    <i>
      <x v="6"/>
    </i>
    <i>
      <x v="16"/>
    </i>
    <i>
      <x v="18"/>
    </i>
    <i>
      <x v="5"/>
    </i>
    <i>
      <x v="14"/>
    </i>
    <i>
      <x v="11"/>
    </i>
    <i>
      <x v="1"/>
    </i>
    <i>
      <x v="8"/>
    </i>
    <i>
      <x v="2"/>
    </i>
    <i>
      <x v="4"/>
    </i>
    <i>
      <x v="3"/>
    </i>
    <i>
      <x v="19"/>
    </i>
    <i>
      <x v="12"/>
    </i>
    <i>
      <x v="10"/>
    </i>
    <i>
      <x v="9"/>
    </i>
    <i>
      <x v="15"/>
    </i>
    <i>
      <x v="17"/>
    </i>
    <i>
      <x/>
    </i>
    <i>
      <x v="7"/>
    </i>
    <i t="grand">
      <x/>
    </i>
  </rowItems>
  <colFields count="1">
    <field x="14"/>
  </colFields>
  <colItems count="5">
    <i>
      <x/>
    </i>
    <i>
      <x v="1"/>
    </i>
    <i>
      <x v="2"/>
    </i>
    <i>
      <x v="3"/>
    </i>
    <i t="grand">
      <x/>
    </i>
  </colItems>
  <dataFields count="1">
    <dataField name="Sum of Amount" fld="4" baseField="0" baseItem="0"/>
  </dataFields>
  <chartFormats count="16">
    <chartFormat chart="10" format="0" series="1">
      <pivotArea type="data" outline="0" fieldPosition="0">
        <references count="2">
          <reference field="4294967294" count="1" selected="0">
            <x v="0"/>
          </reference>
          <reference field="14" count="1" selected="0">
            <x v="0"/>
          </reference>
        </references>
      </pivotArea>
    </chartFormat>
    <chartFormat chart="10" format="1" series="1">
      <pivotArea type="data" outline="0" fieldPosition="0">
        <references count="2">
          <reference field="4294967294" count="1" selected="0">
            <x v="0"/>
          </reference>
          <reference field="14" count="1" selected="0">
            <x v="1"/>
          </reference>
        </references>
      </pivotArea>
    </chartFormat>
    <chartFormat chart="10" format="2" series="1">
      <pivotArea type="data" outline="0" fieldPosition="0">
        <references count="2">
          <reference field="4294967294" count="1" selected="0">
            <x v="0"/>
          </reference>
          <reference field="14" count="1" selected="0">
            <x v="2"/>
          </reference>
        </references>
      </pivotArea>
    </chartFormat>
    <chartFormat chart="10" format="3" series="1">
      <pivotArea type="data" outline="0" fieldPosition="0">
        <references count="2">
          <reference field="4294967294" count="1" selected="0">
            <x v="0"/>
          </reference>
          <reference field="14" count="1" selected="0">
            <x v="3"/>
          </reference>
        </references>
      </pivotArea>
    </chartFormat>
    <chartFormat chart="14" format="8" series="1">
      <pivotArea type="data" outline="0" fieldPosition="0">
        <references count="2">
          <reference field="4294967294" count="1" selected="0">
            <x v="0"/>
          </reference>
          <reference field="14" count="1" selected="0">
            <x v="0"/>
          </reference>
        </references>
      </pivotArea>
    </chartFormat>
    <chartFormat chart="14" format="9" series="1">
      <pivotArea type="data" outline="0" fieldPosition="0">
        <references count="2">
          <reference field="4294967294" count="1" selected="0">
            <x v="0"/>
          </reference>
          <reference field="14" count="1" selected="0">
            <x v="1"/>
          </reference>
        </references>
      </pivotArea>
    </chartFormat>
    <chartFormat chart="14" format="10" series="1">
      <pivotArea type="data" outline="0" fieldPosition="0">
        <references count="2">
          <reference field="4294967294" count="1" selected="0">
            <x v="0"/>
          </reference>
          <reference field="14" count="1" selected="0">
            <x v="2"/>
          </reference>
        </references>
      </pivotArea>
    </chartFormat>
    <chartFormat chart="14" format="11" series="1">
      <pivotArea type="data" outline="0" fieldPosition="0">
        <references count="2">
          <reference field="4294967294" count="1" selected="0">
            <x v="0"/>
          </reference>
          <reference field="14" count="1" selected="0">
            <x v="3"/>
          </reference>
        </references>
      </pivotArea>
    </chartFormat>
    <chartFormat chart="18" format="4" series="1">
      <pivotArea type="data" outline="0" fieldPosition="0">
        <references count="2">
          <reference field="4294967294" count="1" selected="0">
            <x v="0"/>
          </reference>
          <reference field="14" count="1" selected="0">
            <x v="0"/>
          </reference>
        </references>
      </pivotArea>
    </chartFormat>
    <chartFormat chart="18" format="5" series="1">
      <pivotArea type="data" outline="0" fieldPosition="0">
        <references count="2">
          <reference field="4294967294" count="1" selected="0">
            <x v="0"/>
          </reference>
          <reference field="14" count="1" selected="0">
            <x v="1"/>
          </reference>
        </references>
      </pivotArea>
    </chartFormat>
    <chartFormat chart="18" format="6" series="1">
      <pivotArea type="data" outline="0" fieldPosition="0">
        <references count="2">
          <reference field="4294967294" count="1" selected="0">
            <x v="0"/>
          </reference>
          <reference field="14" count="1" selected="0">
            <x v="2"/>
          </reference>
        </references>
      </pivotArea>
    </chartFormat>
    <chartFormat chart="18" format="7" series="1">
      <pivotArea type="data" outline="0" fieldPosition="0">
        <references count="2">
          <reference field="4294967294" count="1" selected="0">
            <x v="0"/>
          </reference>
          <reference field="14" count="1" selected="0">
            <x v="3"/>
          </reference>
        </references>
      </pivotArea>
    </chartFormat>
    <chartFormat chart="19" format="8" series="1">
      <pivotArea type="data" outline="0" fieldPosition="0">
        <references count="2">
          <reference field="4294967294" count="1" selected="0">
            <x v="0"/>
          </reference>
          <reference field="14" count="1" selected="0">
            <x v="0"/>
          </reference>
        </references>
      </pivotArea>
    </chartFormat>
    <chartFormat chart="19" format="9" series="1">
      <pivotArea type="data" outline="0" fieldPosition="0">
        <references count="2">
          <reference field="4294967294" count="1" selected="0">
            <x v="0"/>
          </reference>
          <reference field="14" count="1" selected="0">
            <x v="1"/>
          </reference>
        </references>
      </pivotArea>
    </chartFormat>
    <chartFormat chart="19" format="10" series="1">
      <pivotArea type="data" outline="0" fieldPosition="0">
        <references count="2">
          <reference field="4294967294" count="1" selected="0">
            <x v="0"/>
          </reference>
          <reference field="14" count="1" selected="0">
            <x v="2"/>
          </reference>
        </references>
      </pivotArea>
    </chartFormat>
    <chartFormat chart="19"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2803A8-7397-4BEE-86E9-62304C67E1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I25:O30" firstHeaderRow="1" firstDataRow="2" firstDataCol="1"/>
  <pivotFields count="17">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39" format="0" series="1">
      <pivotArea type="data" outline="0" fieldPosition="0">
        <references count="2">
          <reference field="4294967294" count="1" selected="0">
            <x v="0"/>
          </reference>
          <reference field="16" count="1" selected="0">
            <x v="1"/>
          </reference>
        </references>
      </pivotArea>
    </chartFormat>
    <chartFormat chart="39" format="1" series="1">
      <pivotArea type="data" outline="0" fieldPosition="0">
        <references count="2">
          <reference field="4294967294" count="1" selected="0">
            <x v="0"/>
          </reference>
          <reference field="16" count="1" selected="0">
            <x v="2"/>
          </reference>
        </references>
      </pivotArea>
    </chartFormat>
    <chartFormat chart="39" format="2" series="1">
      <pivotArea type="data" outline="0" fieldPosition="0">
        <references count="2">
          <reference field="4294967294" count="1" selected="0">
            <x v="0"/>
          </reference>
          <reference field="16" count="1" selected="0">
            <x v="3"/>
          </reference>
        </references>
      </pivotArea>
    </chartFormat>
    <chartFormat chart="39" format="3" series="1">
      <pivotArea type="data" outline="0" fieldPosition="0">
        <references count="1">
          <reference field="4294967294" count="1" selected="0">
            <x v="0"/>
          </reference>
        </references>
      </pivotArea>
    </chartFormat>
    <chartFormat chart="39" format="4" series="1">
      <pivotArea type="data" outline="0" fieldPosition="0">
        <references count="2">
          <reference field="4294967294" count="1" selected="0">
            <x v="0"/>
          </reference>
          <reference field="9" count="1" selected="0">
            <x v="1"/>
          </reference>
        </references>
      </pivotArea>
    </chartFormat>
    <chartFormat chart="39" format="5" series="1">
      <pivotArea type="data" outline="0" fieldPosition="0">
        <references count="2">
          <reference field="4294967294" count="1" selected="0">
            <x v="0"/>
          </reference>
          <reference field="9" count="1" selected="0">
            <x v="2"/>
          </reference>
        </references>
      </pivotArea>
    </chartFormat>
    <chartFormat chart="39" format="6" series="1">
      <pivotArea type="data" outline="0" fieldPosition="0">
        <references count="2">
          <reference field="4294967294" count="1" selected="0">
            <x v="0"/>
          </reference>
          <reference field="9" count="1" selected="0">
            <x v="3"/>
          </reference>
        </references>
      </pivotArea>
    </chartFormat>
    <chartFormat chart="39" format="7" series="1">
      <pivotArea type="data" outline="0" fieldPosition="0">
        <references count="2">
          <reference field="4294967294" count="1" selected="0">
            <x v="0"/>
          </reference>
          <reference field="9" count="1" selected="0">
            <x v="4"/>
          </reference>
        </references>
      </pivotArea>
    </chartFormat>
    <chartFormat chart="44" format="13" series="1">
      <pivotArea type="data" outline="0" fieldPosition="0">
        <references count="2">
          <reference field="4294967294" count="1" selected="0">
            <x v="0"/>
          </reference>
          <reference field="9" count="1" selected="0">
            <x v="0"/>
          </reference>
        </references>
      </pivotArea>
    </chartFormat>
    <chartFormat chart="44" format="14" series="1">
      <pivotArea type="data" outline="0" fieldPosition="0">
        <references count="2">
          <reference field="4294967294" count="1" selected="0">
            <x v="0"/>
          </reference>
          <reference field="9" count="1" selected="0">
            <x v="1"/>
          </reference>
        </references>
      </pivotArea>
    </chartFormat>
    <chartFormat chart="44" format="15" series="1">
      <pivotArea type="data" outline="0" fieldPosition="0">
        <references count="2">
          <reference field="4294967294" count="1" selected="0">
            <x v="0"/>
          </reference>
          <reference field="9" count="1" selected="0">
            <x v="2"/>
          </reference>
        </references>
      </pivotArea>
    </chartFormat>
    <chartFormat chart="44" format="16" series="1">
      <pivotArea type="data" outline="0" fieldPosition="0">
        <references count="2">
          <reference field="4294967294" count="1" selected="0">
            <x v="0"/>
          </reference>
          <reference field="9" count="1" selected="0">
            <x v="3"/>
          </reference>
        </references>
      </pivotArea>
    </chartFormat>
    <chartFormat chart="44"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3342DE6F-242A-4EF9-800E-515BB67DC538}" sourceName="Order Mode">
  <pivotTables>
    <pivotTable tabId="9" name="PivotTable1"/>
    <pivotTable tabId="10" name="PivotTable2"/>
    <pivotTable tabId="5" name="PivotTable1"/>
    <pivotTable tabId="5" name="PivotTable3"/>
    <pivotTable tabId="14" name="PivotTable1"/>
    <pivotTable tabId="14" name="PivotTable2"/>
    <pivotTable tabId="14" name="PivotTable3"/>
    <pivotTable tabId="14" name="PivotTable4"/>
    <pivotTable tabId="14" name="PivotTable5"/>
    <pivotTable tabId="11" name="PivotTable4"/>
    <pivotTable tabId="5" name="PivotTable2"/>
  </pivotTables>
  <data>
    <tabular pivotCacheId="91975157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7A861BD-8F0A-4E0D-A04C-F57FCB5F6ABC}" sourceName="Gender Value">
  <pivotTables>
    <pivotTable tabId="10" name="PivotTable2"/>
    <pivotTable tabId="5" name="PivotTable1"/>
    <pivotTable tabId="5" name="PivotTable3"/>
    <pivotTable tabId="13" name="PivotTable1"/>
    <pivotTable tabId="9" name="PivotTable1"/>
    <pivotTable tabId="14" name="PivotTable1"/>
    <pivotTable tabId="14" name="PivotTable2"/>
    <pivotTable tabId="14" name="PivotTable3"/>
    <pivotTable tabId="14" name="PivotTable4"/>
    <pivotTable tabId="14" name="PivotTable5"/>
    <pivotTable tabId="11" name="PivotTable4"/>
    <pivotTable tabId="5" name="PivotTable2"/>
  </pivotTables>
  <data>
    <tabular pivotCacheId="91975157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CAF3B344-C91C-466D-A791-95A994D377F5}" cache="Slicer_Order_Mode" caption="Order Mode" style="SlicerStyleDark5" rowHeight="247650"/>
  <slicer name="Gender Value" xr10:uid="{08E96153-78C9-45A8-9EAF-3251A274499F}"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2.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EA6CF-FD1E-475C-BAFA-03E75823A405}">
  <dimension ref="A3:O24"/>
  <sheetViews>
    <sheetView workbookViewId="0">
      <selection activeCell="F8" sqref="F8"/>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11" max="11" width="12.21875" bestFit="1" customWidth="1"/>
    <col min="12" max="12" width="14.21875" bestFit="1" customWidth="1"/>
    <col min="13" max="13" width="13.5546875" bestFit="1" customWidth="1"/>
    <col min="14" max="14" width="16.6640625" bestFit="1" customWidth="1"/>
    <col min="15" max="15" width="22.33203125" bestFit="1" customWidth="1"/>
  </cols>
  <sheetData>
    <row r="3" spans="1:15" x14ac:dyDescent="0.3">
      <c r="A3" t="s">
        <v>2504</v>
      </c>
      <c r="B3" t="s">
        <v>2505</v>
      </c>
      <c r="C3" t="s">
        <v>2506</v>
      </c>
      <c r="D3" t="s">
        <v>2507</v>
      </c>
      <c r="E3" t="s">
        <v>2508</v>
      </c>
      <c r="G3" t="s">
        <v>2509</v>
      </c>
    </row>
    <row r="4" spans="1:15" x14ac:dyDescent="0.3">
      <c r="A4" s="26">
        <v>2400</v>
      </c>
      <c r="B4" s="26">
        <v>11997</v>
      </c>
      <c r="C4" s="26">
        <v>649019.80000000144</v>
      </c>
      <c r="D4" s="26">
        <v>3.9620833333333332</v>
      </c>
      <c r="E4" s="26">
        <v>2.3424999999999998</v>
      </c>
      <c r="G4" t="s">
        <v>2503</v>
      </c>
      <c r="H4" t="s">
        <v>2510</v>
      </c>
      <c r="I4" t="s">
        <v>4</v>
      </c>
      <c r="J4" t="s">
        <v>2511</v>
      </c>
      <c r="K4" t="s">
        <v>2512</v>
      </c>
      <c r="L4" t="s">
        <v>2513</v>
      </c>
    </row>
    <row r="5" spans="1:15" x14ac:dyDescent="0.3">
      <c r="G5" t="str">
        <f>TEXT(A4,"#,##")</f>
        <v>2,400</v>
      </c>
      <c r="H5" t="str">
        <f>TEXT(B4,"##,###")</f>
        <v>11,997</v>
      </c>
      <c r="I5" t="str">
        <f>TEXT(C4,"$#,##,.0k")</f>
        <v>$649.0k</v>
      </c>
      <c r="J5" t="str">
        <f>TEXT(D4,"0.0")</f>
        <v>4.0</v>
      </c>
      <c r="K5" t="str">
        <f>TEXT(E4,"0.0")</f>
        <v>2.3</v>
      </c>
    </row>
    <row r="10" spans="1:15" x14ac:dyDescent="0.3">
      <c r="A10" s="3" t="s">
        <v>2516</v>
      </c>
      <c r="B10" t="s">
        <v>2505</v>
      </c>
      <c r="C10" t="s">
        <v>2506</v>
      </c>
    </row>
    <row r="11" spans="1:15" x14ac:dyDescent="0.3">
      <c r="A11" s="4">
        <v>1</v>
      </c>
      <c r="B11" s="26">
        <v>546</v>
      </c>
      <c r="C11" s="5">
        <v>32413.300000000003</v>
      </c>
    </row>
    <row r="12" spans="1:15" x14ac:dyDescent="0.3">
      <c r="A12" s="4">
        <v>2</v>
      </c>
      <c r="B12" s="26">
        <v>905</v>
      </c>
      <c r="C12" s="5">
        <v>49562.999999999993</v>
      </c>
    </row>
    <row r="13" spans="1:15" x14ac:dyDescent="0.3">
      <c r="A13" s="4">
        <v>3</v>
      </c>
      <c r="B13" s="26">
        <v>796</v>
      </c>
      <c r="C13" s="5">
        <v>41700.400000000016</v>
      </c>
      <c r="K13" t="s">
        <v>2504</v>
      </c>
      <c r="L13" t="s">
        <v>2505</v>
      </c>
      <c r="M13" t="s">
        <v>2506</v>
      </c>
      <c r="N13" t="s">
        <v>2507</v>
      </c>
      <c r="O13" t="s">
        <v>2508</v>
      </c>
    </row>
    <row r="14" spans="1:15" x14ac:dyDescent="0.3">
      <c r="A14" s="4">
        <v>4</v>
      </c>
      <c r="B14" s="26">
        <v>913</v>
      </c>
      <c r="C14" s="5">
        <v>46782.599999999984</v>
      </c>
      <c r="K14" s="26">
        <v>2400</v>
      </c>
      <c r="L14" s="26">
        <v>11997</v>
      </c>
      <c r="M14" s="26">
        <v>649019.80000000144</v>
      </c>
      <c r="N14" s="26">
        <v>3.9620833333333332</v>
      </c>
      <c r="O14" s="26">
        <v>2.3424999999999998</v>
      </c>
    </row>
    <row r="15" spans="1:15" x14ac:dyDescent="0.3">
      <c r="A15" s="4">
        <v>5</v>
      </c>
      <c r="B15" s="26">
        <v>844</v>
      </c>
      <c r="C15" s="5">
        <v>42676.100000000006</v>
      </c>
    </row>
    <row r="16" spans="1:15" x14ac:dyDescent="0.3">
      <c r="A16" s="4">
        <v>6</v>
      </c>
      <c r="B16" s="26">
        <v>1202</v>
      </c>
      <c r="C16" s="5">
        <v>62910.7</v>
      </c>
    </row>
    <row r="17" spans="1:3" x14ac:dyDescent="0.3">
      <c r="A17" s="4">
        <v>7</v>
      </c>
      <c r="B17" s="26">
        <v>935</v>
      </c>
      <c r="C17" s="5">
        <v>50332.200000000004</v>
      </c>
    </row>
    <row r="18" spans="1:3" x14ac:dyDescent="0.3">
      <c r="A18" s="4">
        <v>8</v>
      </c>
      <c r="B18" s="26">
        <v>1128</v>
      </c>
      <c r="C18" s="5">
        <v>58760.599999999977</v>
      </c>
    </row>
    <row r="19" spans="1:3" x14ac:dyDescent="0.3">
      <c r="A19" s="4">
        <v>9</v>
      </c>
      <c r="B19" s="26">
        <v>1007</v>
      </c>
      <c r="C19" s="5">
        <v>52017.299999999996</v>
      </c>
    </row>
    <row r="20" spans="1:3" x14ac:dyDescent="0.3">
      <c r="A20" s="4">
        <v>10</v>
      </c>
      <c r="B20" s="26">
        <v>1128</v>
      </c>
      <c r="C20" s="5">
        <v>64915.700000000033</v>
      </c>
    </row>
    <row r="21" spans="1:3" x14ac:dyDescent="0.3">
      <c r="A21" s="4">
        <v>11</v>
      </c>
      <c r="B21" s="26">
        <v>861</v>
      </c>
      <c r="C21" s="5">
        <v>45943.80000000001</v>
      </c>
    </row>
    <row r="22" spans="1:3" x14ac:dyDescent="0.3">
      <c r="A22" s="4">
        <v>12</v>
      </c>
      <c r="B22" s="26">
        <v>944</v>
      </c>
      <c r="C22" s="5">
        <v>55077.900000000031</v>
      </c>
    </row>
    <row r="23" spans="1:3" x14ac:dyDescent="0.3">
      <c r="A23" s="4">
        <v>13</v>
      </c>
      <c r="B23" s="26">
        <v>788</v>
      </c>
      <c r="C23" s="5">
        <v>45926.19999999999</v>
      </c>
    </row>
    <row r="24" spans="1:3" x14ac:dyDescent="0.3">
      <c r="A24" s="4" t="s">
        <v>2515</v>
      </c>
      <c r="B24" s="26">
        <v>11997</v>
      </c>
      <c r="C24" s="5">
        <v>649019.79999999993</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800E1-694C-4D22-8682-AF14DD0ED17A}">
  <dimension ref="A3:A9"/>
  <sheetViews>
    <sheetView workbookViewId="0">
      <selection activeCell="L10" sqref="L10"/>
    </sheetView>
  </sheetViews>
  <sheetFormatPr defaultRowHeight="14.4" x14ac:dyDescent="0.3"/>
  <cols>
    <col min="1" max="1" width="12.44140625" bestFit="1" customWidth="1"/>
    <col min="2" max="20" width="19.77734375" bestFit="1" customWidth="1"/>
    <col min="21" max="21" width="10.5546875" bestFit="1" customWidth="1"/>
  </cols>
  <sheetData>
    <row r="3" spans="1:1" x14ac:dyDescent="0.3">
      <c r="A3" s="3" t="s">
        <v>2516</v>
      </c>
    </row>
    <row r="4" spans="1:1" x14ac:dyDescent="0.3">
      <c r="A4" s="4" t="s">
        <v>18</v>
      </c>
    </row>
    <row r="5" spans="1:1" x14ac:dyDescent="0.3">
      <c r="A5" s="4" t="s">
        <v>51</v>
      </c>
    </row>
    <row r="6" spans="1:1" x14ac:dyDescent="0.3">
      <c r="A6" s="4" t="s">
        <v>70</v>
      </c>
    </row>
    <row r="7" spans="1:1" x14ac:dyDescent="0.3">
      <c r="A7" s="4" t="s">
        <v>40</v>
      </c>
    </row>
    <row r="8" spans="1:1" x14ac:dyDescent="0.3">
      <c r="A8" s="4" t="s">
        <v>35</v>
      </c>
    </row>
    <row r="9" spans="1:1" x14ac:dyDescent="0.3">
      <c r="A9" s="4" t="s">
        <v>2515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44D89-71D5-4B78-A1CC-D42C33D5A76C}">
  <dimension ref="A3:A8"/>
  <sheetViews>
    <sheetView workbookViewId="0">
      <selection activeCell="A10" sqref="A10"/>
    </sheetView>
  </sheetViews>
  <sheetFormatPr defaultRowHeight="14.4" x14ac:dyDescent="0.3"/>
  <cols>
    <col min="1" max="1" width="12.44140625" bestFit="1" customWidth="1"/>
  </cols>
  <sheetData>
    <row r="3" spans="1:1" x14ac:dyDescent="0.3">
      <c r="A3" s="3" t="s">
        <v>2516</v>
      </c>
    </row>
    <row r="4" spans="1:1" x14ac:dyDescent="0.3">
      <c r="A4" s="4" t="s">
        <v>2525</v>
      </c>
    </row>
    <row r="5" spans="1:1" x14ac:dyDescent="0.3">
      <c r="A5" s="4" t="s">
        <v>2524</v>
      </c>
    </row>
    <row r="6" spans="1:1" x14ac:dyDescent="0.3">
      <c r="A6" s="4" t="s">
        <v>2517</v>
      </c>
    </row>
    <row r="7" spans="1:1" x14ac:dyDescent="0.3">
      <c r="A7" s="4" t="s">
        <v>2526</v>
      </c>
    </row>
    <row r="8" spans="1:1" x14ac:dyDescent="0.3">
      <c r="A8" s="4" t="s">
        <v>2515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CFC5C-0BFB-4E32-9713-4A750F4236B0}">
  <dimension ref="A1:M90"/>
  <sheetViews>
    <sheetView workbookViewId="0">
      <selection activeCell="H5" sqref="H5"/>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1.88671875" bestFit="1" customWidth="1"/>
    <col min="11" max="11" width="8.77734375" customWidth="1"/>
    <col min="12" max="12" width="11" customWidth="1"/>
  </cols>
  <sheetData>
    <row r="1" spans="1:13" x14ac:dyDescent="0.3">
      <c r="I1" s="8"/>
      <c r="J1" s="8"/>
      <c r="K1" s="8"/>
      <c r="L1" s="8"/>
    </row>
    <row r="2" spans="1:13" x14ac:dyDescent="0.3">
      <c r="H2" t="s">
        <v>2518</v>
      </c>
      <c r="I2" s="8"/>
      <c r="J2" s="8"/>
      <c r="K2" s="8"/>
      <c r="L2" s="8"/>
    </row>
    <row r="3" spans="1:13" x14ac:dyDescent="0.3">
      <c r="A3" s="3" t="s">
        <v>2506</v>
      </c>
      <c r="B3" s="3" t="s">
        <v>2514</v>
      </c>
      <c r="I3" s="8"/>
      <c r="J3" s="8"/>
      <c r="K3" s="8"/>
      <c r="L3" s="8"/>
    </row>
    <row r="4" spans="1:13" ht="16.8" x14ac:dyDescent="0.4">
      <c r="A4" s="3" t="s">
        <v>2516</v>
      </c>
      <c r="B4" t="s">
        <v>2525</v>
      </c>
      <c r="C4" t="s">
        <v>2524</v>
      </c>
      <c r="D4" t="s">
        <v>2517</v>
      </c>
      <c r="E4" t="s">
        <v>2526</v>
      </c>
      <c r="F4" t="s">
        <v>2515</v>
      </c>
      <c r="H4" s="16"/>
      <c r="I4" s="15" t="str">
        <f>B4</f>
        <v>Female</v>
      </c>
      <c r="J4" s="15" t="str">
        <f t="shared" ref="J4:L4" si="0">C4</f>
        <v>Male</v>
      </c>
      <c r="K4" s="15" t="str">
        <f t="shared" si="0"/>
        <v>Other</v>
      </c>
      <c r="L4" s="15" t="str">
        <f t="shared" si="0"/>
        <v>Unknown</v>
      </c>
    </row>
    <row r="5" spans="1:13" ht="15" x14ac:dyDescent="0.35">
      <c r="A5" s="4" t="s">
        <v>18</v>
      </c>
      <c r="B5" s="6">
        <v>0.18961825201634841</v>
      </c>
      <c r="C5" s="6">
        <v>0.12262322351336576</v>
      </c>
      <c r="D5" s="6">
        <v>1.060537752469185E-2</v>
      </c>
      <c r="E5" s="6">
        <v>3.0599220547662797E-2</v>
      </c>
      <c r="F5" s="6">
        <v>0.35344607360206881</v>
      </c>
      <c r="H5" s="17" t="str">
        <f>A5</f>
        <v>App</v>
      </c>
      <c r="I5" s="9">
        <f t="shared" ref="I5:L5" si="1">B5</f>
        <v>0.18961825201634841</v>
      </c>
      <c r="J5" s="10">
        <f t="shared" si="1"/>
        <v>0.12262322351336576</v>
      </c>
      <c r="K5" s="10">
        <f t="shared" si="1"/>
        <v>1.060537752469185E-2</v>
      </c>
      <c r="L5" s="10">
        <f t="shared" si="1"/>
        <v>3.0599220547662797E-2</v>
      </c>
      <c r="M5" s="7"/>
    </row>
    <row r="6" spans="1:13" ht="15" x14ac:dyDescent="0.35">
      <c r="A6" s="4" t="s">
        <v>51</v>
      </c>
      <c r="B6" s="6">
        <v>5.0283982091147303E-2</v>
      </c>
      <c r="C6" s="6">
        <v>4.3060781812819873E-2</v>
      </c>
      <c r="D6" s="6">
        <v>1.5320025675641944E-3</v>
      </c>
      <c r="E6" s="6">
        <v>1.7794988689097006E-2</v>
      </c>
      <c r="F6" s="6">
        <v>0.11267175516062837</v>
      </c>
      <c r="H6" s="17" t="str">
        <f t="shared" ref="H6:H9" si="2">A6</f>
        <v>Instagram</v>
      </c>
      <c r="I6" s="11">
        <f t="shared" ref="I6:I9" si="3">B6</f>
        <v>5.0283982091147303E-2</v>
      </c>
      <c r="J6" s="12">
        <f t="shared" ref="J6:J9" si="4">C6</f>
        <v>4.3060781812819873E-2</v>
      </c>
      <c r="K6" s="12">
        <f t="shared" ref="K6:K9" si="5">D6</f>
        <v>1.5320025675641944E-3</v>
      </c>
      <c r="L6" s="12">
        <f t="shared" ref="L6:L9" si="6">E6</f>
        <v>1.7794988689097006E-2</v>
      </c>
      <c r="M6" s="7"/>
    </row>
    <row r="7" spans="1:13" ht="15" x14ac:dyDescent="0.35">
      <c r="A7" s="4" t="s">
        <v>70</v>
      </c>
      <c r="B7" s="6">
        <v>6.3496059750411282E-2</v>
      </c>
      <c r="C7" s="6">
        <v>4.6071629863988765E-2</v>
      </c>
      <c r="D7" s="6">
        <v>2.306247051322625E-3</v>
      </c>
      <c r="E7" s="6">
        <v>3.8927934093844286E-3</v>
      </c>
      <c r="F7" s="6">
        <v>0.11576673007510711</v>
      </c>
      <c r="H7" s="17" t="str">
        <f t="shared" si="2"/>
        <v>Partner App</v>
      </c>
      <c r="I7" s="11">
        <f t="shared" si="3"/>
        <v>6.3496059750411282E-2</v>
      </c>
      <c r="J7" s="12">
        <f t="shared" si="4"/>
        <v>4.6071629863988765E-2</v>
      </c>
      <c r="K7" s="12">
        <f t="shared" si="5"/>
        <v>2.306247051322625E-3</v>
      </c>
      <c r="L7" s="12">
        <f t="shared" si="6"/>
        <v>3.8927934093844286E-3</v>
      </c>
      <c r="M7" s="7"/>
    </row>
    <row r="8" spans="1:13" ht="15" x14ac:dyDescent="0.35">
      <c r="A8" s="4" t="s">
        <v>40</v>
      </c>
      <c r="B8" s="6">
        <v>9.6337892927149532E-2</v>
      </c>
      <c r="C8" s="6">
        <v>6.7920115842382611E-2</v>
      </c>
      <c r="D8" s="6">
        <v>5.4979832664581261E-3</v>
      </c>
      <c r="E8" s="6">
        <v>1.2933041488102518E-2</v>
      </c>
      <c r="F8" s="6">
        <v>0.1826890335240928</v>
      </c>
      <c r="H8" s="17" t="str">
        <f t="shared" si="2"/>
        <v>Target.com</v>
      </c>
      <c r="I8" s="11">
        <f t="shared" si="3"/>
        <v>9.6337892927149532E-2</v>
      </c>
      <c r="J8" s="12">
        <f t="shared" si="4"/>
        <v>6.7920115842382611E-2</v>
      </c>
      <c r="K8" s="12">
        <f t="shared" si="5"/>
        <v>5.4979832664581261E-3</v>
      </c>
      <c r="L8" s="12">
        <f t="shared" si="6"/>
        <v>1.2933041488102518E-2</v>
      </c>
      <c r="M8" s="7"/>
    </row>
    <row r="9" spans="1:13" ht="15" x14ac:dyDescent="0.35">
      <c r="A9" s="4" t="s">
        <v>35</v>
      </c>
      <c r="B9" s="6">
        <v>0.12522098709469262</v>
      </c>
      <c r="C9" s="6">
        <v>9.1492740283116228E-2</v>
      </c>
      <c r="D9" s="6">
        <v>6.3042760790965081E-3</v>
      </c>
      <c r="E9" s="6">
        <v>1.2408404181197551E-2</v>
      </c>
      <c r="F9" s="6">
        <v>0.23542640763810288</v>
      </c>
      <c r="H9" s="17" t="str">
        <f t="shared" si="2"/>
        <v>Website</v>
      </c>
      <c r="I9" s="13">
        <f t="shared" si="3"/>
        <v>0.12522098709469262</v>
      </c>
      <c r="J9" s="14">
        <f t="shared" si="4"/>
        <v>9.1492740283116228E-2</v>
      </c>
      <c r="K9" s="14">
        <f t="shared" si="5"/>
        <v>6.3042760790965081E-3</v>
      </c>
      <c r="L9" s="14">
        <f t="shared" si="6"/>
        <v>1.2408404181197551E-2</v>
      </c>
      <c r="M9" s="7"/>
    </row>
    <row r="10" spans="1:13" x14ac:dyDescent="0.3">
      <c r="A10" s="4" t="s">
        <v>2515</v>
      </c>
      <c r="B10" s="6">
        <v>0.52495717387974916</v>
      </c>
      <c r="C10" s="6">
        <v>0.3711684913156732</v>
      </c>
      <c r="D10" s="6">
        <v>2.6245886489133303E-2</v>
      </c>
      <c r="E10" s="6">
        <v>7.7628448315444312E-2</v>
      </c>
      <c r="F10" s="6">
        <v>1</v>
      </c>
      <c r="I10" s="8"/>
      <c r="J10" s="8"/>
      <c r="K10" s="8"/>
      <c r="L10" s="8"/>
    </row>
    <row r="11" spans="1:13" x14ac:dyDescent="0.3">
      <c r="I11" s="8"/>
      <c r="J11" s="8"/>
      <c r="K11" s="8"/>
      <c r="L11" s="8"/>
    </row>
    <row r="12" spans="1:13" x14ac:dyDescent="0.3">
      <c r="I12" s="8"/>
      <c r="J12" s="8"/>
      <c r="K12" s="8"/>
      <c r="L12" s="8"/>
    </row>
    <row r="13" spans="1:13" x14ac:dyDescent="0.3">
      <c r="I13" s="8"/>
      <c r="J13" s="8"/>
      <c r="K13" s="8"/>
      <c r="L13" s="8"/>
    </row>
    <row r="14" spans="1:13" x14ac:dyDescent="0.3">
      <c r="I14" s="8"/>
      <c r="J14" s="8"/>
      <c r="K14" s="8"/>
      <c r="L14" s="8"/>
    </row>
    <row r="15" spans="1:13" x14ac:dyDescent="0.3">
      <c r="I15" s="8"/>
      <c r="J15" s="8"/>
      <c r="K15" s="8"/>
      <c r="L15" s="8"/>
    </row>
    <row r="16" spans="1:13" x14ac:dyDescent="0.3">
      <c r="I16" s="8"/>
      <c r="J16" s="8"/>
      <c r="K16" s="8"/>
      <c r="L16" s="8"/>
    </row>
    <row r="17" spans="9:12" x14ac:dyDescent="0.3">
      <c r="I17" s="8"/>
      <c r="J17" s="8"/>
      <c r="K17" s="8"/>
      <c r="L17" s="8"/>
    </row>
    <row r="18" spans="9:12" x14ac:dyDescent="0.3">
      <c r="I18" s="8"/>
      <c r="J18" s="8"/>
      <c r="K18" s="8"/>
      <c r="L18" s="8"/>
    </row>
    <row r="19" spans="9:12" x14ac:dyDescent="0.3">
      <c r="I19" s="8"/>
      <c r="J19" s="8"/>
      <c r="K19" s="8"/>
      <c r="L19" s="8"/>
    </row>
    <row r="20" spans="9:12" x14ac:dyDescent="0.3">
      <c r="I20" s="8"/>
      <c r="J20" s="8"/>
      <c r="K20" s="8"/>
      <c r="L20" s="8"/>
    </row>
    <row r="21" spans="9:12" x14ac:dyDescent="0.3">
      <c r="I21" s="8"/>
      <c r="J21" s="8"/>
      <c r="K21" s="8"/>
      <c r="L21" s="8"/>
    </row>
    <row r="22" spans="9:12" x14ac:dyDescent="0.3">
      <c r="I22" s="8"/>
      <c r="J22" s="8"/>
      <c r="K22" s="8"/>
      <c r="L22" s="8"/>
    </row>
    <row r="23" spans="9:12" x14ac:dyDescent="0.3">
      <c r="I23" s="8"/>
      <c r="J23" s="8"/>
      <c r="K23" s="8"/>
      <c r="L23" s="8"/>
    </row>
    <row r="24" spans="9:12" x14ac:dyDescent="0.3">
      <c r="I24" s="8"/>
      <c r="J24" s="8"/>
      <c r="K24" s="8"/>
      <c r="L24" s="8"/>
    </row>
    <row r="25" spans="9:12" x14ac:dyDescent="0.3">
      <c r="I25" s="8"/>
      <c r="J25" s="8"/>
      <c r="K25" s="8"/>
      <c r="L25" s="8"/>
    </row>
    <row r="26" spans="9:12" x14ac:dyDescent="0.3">
      <c r="I26" s="8"/>
      <c r="J26" s="8"/>
      <c r="K26" s="8"/>
      <c r="L26" s="8"/>
    </row>
    <row r="27" spans="9:12" x14ac:dyDescent="0.3">
      <c r="I27" s="8"/>
      <c r="J27" s="8"/>
      <c r="K27" s="8"/>
      <c r="L27" s="8"/>
    </row>
    <row r="28" spans="9:12" x14ac:dyDescent="0.3">
      <c r="I28" s="8"/>
      <c r="J28" s="8"/>
      <c r="K28" s="8"/>
      <c r="L28" s="8"/>
    </row>
    <row r="29" spans="9:12" x14ac:dyDescent="0.3">
      <c r="I29" s="8"/>
      <c r="J29" s="8"/>
      <c r="K29" s="8"/>
      <c r="L29" s="8"/>
    </row>
    <row r="30" spans="9:12" x14ac:dyDescent="0.3">
      <c r="I30" s="8"/>
      <c r="J30" s="8"/>
      <c r="K30" s="8"/>
      <c r="L30" s="8"/>
    </row>
    <row r="31" spans="9:12" x14ac:dyDescent="0.3">
      <c r="I31" s="8"/>
      <c r="J31" s="8"/>
      <c r="K31" s="8"/>
      <c r="L31" s="8"/>
    </row>
    <row r="32" spans="9:12" x14ac:dyDescent="0.3">
      <c r="I32" s="8"/>
      <c r="J32" s="8"/>
      <c r="K32" s="8"/>
      <c r="L32" s="8"/>
    </row>
    <row r="33" spans="9:12" x14ac:dyDescent="0.3">
      <c r="I33" s="8"/>
      <c r="J33" s="8"/>
      <c r="K33" s="8"/>
      <c r="L33" s="8"/>
    </row>
    <row r="34" spans="9:12" x14ac:dyDescent="0.3">
      <c r="I34" s="8"/>
      <c r="J34" s="8"/>
      <c r="K34" s="8"/>
      <c r="L34" s="8"/>
    </row>
    <row r="35" spans="9:12" x14ac:dyDescent="0.3">
      <c r="I35" s="8"/>
      <c r="J35" s="8"/>
      <c r="K35" s="8"/>
      <c r="L35" s="8"/>
    </row>
    <row r="36" spans="9:12" x14ac:dyDescent="0.3">
      <c r="I36" s="8"/>
      <c r="J36" s="8"/>
      <c r="K36" s="8"/>
      <c r="L36" s="8"/>
    </row>
    <row r="37" spans="9:12" x14ac:dyDescent="0.3">
      <c r="I37" s="8"/>
      <c r="J37" s="8"/>
      <c r="K37" s="8"/>
      <c r="L37" s="8"/>
    </row>
    <row r="38" spans="9:12" x14ac:dyDescent="0.3">
      <c r="I38" s="8"/>
      <c r="J38" s="8"/>
      <c r="K38" s="8"/>
      <c r="L38" s="8"/>
    </row>
    <row r="39" spans="9:12" x14ac:dyDescent="0.3">
      <c r="I39" s="8"/>
      <c r="J39" s="8"/>
      <c r="K39" s="8"/>
      <c r="L39" s="8"/>
    </row>
    <row r="40" spans="9:12" x14ac:dyDescent="0.3">
      <c r="I40" s="8"/>
      <c r="J40" s="8"/>
      <c r="K40" s="8"/>
      <c r="L40" s="8"/>
    </row>
    <row r="41" spans="9:12" x14ac:dyDescent="0.3">
      <c r="I41" s="8"/>
      <c r="J41" s="8"/>
      <c r="K41" s="8"/>
      <c r="L41" s="8"/>
    </row>
    <row r="42" spans="9:12" x14ac:dyDescent="0.3">
      <c r="I42" s="8"/>
      <c r="J42" s="8"/>
      <c r="K42" s="8"/>
      <c r="L42" s="8"/>
    </row>
    <row r="43" spans="9:12" x14ac:dyDescent="0.3">
      <c r="I43" s="8"/>
      <c r="J43" s="8"/>
      <c r="K43" s="8"/>
      <c r="L43" s="8"/>
    </row>
    <row r="44" spans="9:12" x14ac:dyDescent="0.3">
      <c r="I44" s="8"/>
      <c r="J44" s="8"/>
      <c r="K44" s="8"/>
      <c r="L44" s="8"/>
    </row>
    <row r="45" spans="9:12" x14ac:dyDescent="0.3">
      <c r="I45" s="8"/>
      <c r="J45" s="8"/>
      <c r="K45" s="8"/>
      <c r="L45" s="8"/>
    </row>
    <row r="46" spans="9:12" x14ac:dyDescent="0.3">
      <c r="I46" s="8"/>
      <c r="J46" s="8"/>
      <c r="K46" s="8"/>
      <c r="L46" s="8"/>
    </row>
    <row r="47" spans="9:12" x14ac:dyDescent="0.3">
      <c r="I47" s="8"/>
      <c r="J47" s="8"/>
      <c r="K47" s="8"/>
      <c r="L47" s="8"/>
    </row>
    <row r="48" spans="9:12" x14ac:dyDescent="0.3">
      <c r="I48" s="8"/>
      <c r="J48" s="8"/>
      <c r="K48" s="8"/>
      <c r="L48" s="8"/>
    </row>
    <row r="49" spans="9:12" x14ac:dyDescent="0.3">
      <c r="I49" s="8"/>
      <c r="J49" s="8"/>
      <c r="K49" s="8"/>
      <c r="L49" s="8"/>
    </row>
    <row r="50" spans="9:12" x14ac:dyDescent="0.3">
      <c r="I50" s="8"/>
      <c r="J50" s="8"/>
      <c r="K50" s="8"/>
      <c r="L50" s="8"/>
    </row>
    <row r="51" spans="9:12" x14ac:dyDescent="0.3">
      <c r="I51" s="8"/>
      <c r="J51" s="8"/>
      <c r="K51" s="8"/>
      <c r="L51" s="8"/>
    </row>
    <row r="52" spans="9:12" x14ac:dyDescent="0.3">
      <c r="I52" s="8"/>
      <c r="J52" s="8"/>
      <c r="K52" s="8"/>
      <c r="L52" s="8"/>
    </row>
    <row r="53" spans="9:12" x14ac:dyDescent="0.3">
      <c r="I53" s="8"/>
      <c r="J53" s="8"/>
      <c r="K53" s="8"/>
      <c r="L53" s="8"/>
    </row>
    <row r="54" spans="9:12" x14ac:dyDescent="0.3">
      <c r="I54" s="8"/>
      <c r="J54" s="8"/>
      <c r="K54" s="8"/>
      <c r="L54" s="8"/>
    </row>
    <row r="55" spans="9:12" x14ac:dyDescent="0.3">
      <c r="I55" s="8"/>
      <c r="J55" s="8"/>
      <c r="K55" s="8"/>
      <c r="L55" s="8"/>
    </row>
    <row r="56" spans="9:12" x14ac:dyDescent="0.3">
      <c r="I56" s="8"/>
      <c r="J56" s="8"/>
      <c r="K56" s="8"/>
      <c r="L56" s="8"/>
    </row>
    <row r="57" spans="9:12" x14ac:dyDescent="0.3">
      <c r="I57" s="8"/>
      <c r="J57" s="8"/>
      <c r="K57" s="8"/>
      <c r="L57" s="8"/>
    </row>
    <row r="58" spans="9:12" x14ac:dyDescent="0.3">
      <c r="I58" s="8"/>
      <c r="J58" s="8"/>
      <c r="K58" s="8"/>
      <c r="L58" s="8"/>
    </row>
    <row r="59" spans="9:12" x14ac:dyDescent="0.3">
      <c r="I59" s="8"/>
      <c r="J59" s="8"/>
      <c r="K59" s="8"/>
      <c r="L59" s="8"/>
    </row>
    <row r="60" spans="9:12" x14ac:dyDescent="0.3">
      <c r="I60" s="8"/>
      <c r="J60" s="8"/>
      <c r="K60" s="8"/>
      <c r="L60" s="8"/>
    </row>
    <row r="61" spans="9:12" x14ac:dyDescent="0.3">
      <c r="I61" s="8"/>
      <c r="J61" s="8"/>
      <c r="K61" s="8"/>
      <c r="L61" s="8"/>
    </row>
    <row r="62" spans="9:12" x14ac:dyDescent="0.3">
      <c r="I62" s="8"/>
      <c r="J62" s="8"/>
      <c r="K62" s="8"/>
      <c r="L62" s="8"/>
    </row>
    <row r="63" spans="9:12" x14ac:dyDescent="0.3">
      <c r="I63" s="8"/>
      <c r="J63" s="8"/>
      <c r="K63" s="8"/>
      <c r="L63" s="8"/>
    </row>
    <row r="64" spans="9:12" x14ac:dyDescent="0.3">
      <c r="I64" s="8"/>
      <c r="J64" s="8"/>
      <c r="K64" s="8"/>
      <c r="L64" s="8"/>
    </row>
    <row r="65" spans="9:12" x14ac:dyDescent="0.3">
      <c r="I65" s="8"/>
      <c r="J65" s="8"/>
      <c r="K65" s="8"/>
      <c r="L65" s="8"/>
    </row>
    <row r="66" spans="9:12" x14ac:dyDescent="0.3">
      <c r="I66" s="8"/>
      <c r="J66" s="8"/>
      <c r="K66" s="8"/>
      <c r="L66" s="8"/>
    </row>
    <row r="67" spans="9:12" x14ac:dyDescent="0.3">
      <c r="I67" s="8"/>
      <c r="J67" s="8"/>
      <c r="K67" s="8"/>
      <c r="L67" s="8"/>
    </row>
    <row r="68" spans="9:12" x14ac:dyDescent="0.3">
      <c r="I68" s="8"/>
      <c r="J68" s="8"/>
      <c r="K68" s="8"/>
      <c r="L68" s="8"/>
    </row>
    <row r="69" spans="9:12" x14ac:dyDescent="0.3">
      <c r="I69" s="8"/>
      <c r="J69" s="8"/>
      <c r="K69" s="8"/>
      <c r="L69" s="8"/>
    </row>
    <row r="70" spans="9:12" x14ac:dyDescent="0.3">
      <c r="I70" s="8"/>
      <c r="J70" s="8"/>
      <c r="K70" s="8"/>
      <c r="L70" s="8"/>
    </row>
    <row r="71" spans="9:12" x14ac:dyDescent="0.3">
      <c r="I71" s="8"/>
      <c r="J71" s="8"/>
      <c r="K71" s="8"/>
      <c r="L71" s="8"/>
    </row>
    <row r="72" spans="9:12" x14ac:dyDescent="0.3">
      <c r="I72" s="8"/>
      <c r="J72" s="8"/>
      <c r="K72" s="8"/>
      <c r="L72" s="8"/>
    </row>
    <row r="73" spans="9:12" x14ac:dyDescent="0.3">
      <c r="I73" s="8"/>
      <c r="J73" s="8"/>
      <c r="K73" s="8"/>
      <c r="L73" s="8"/>
    </row>
    <row r="74" spans="9:12" x14ac:dyDescent="0.3">
      <c r="I74" s="8"/>
      <c r="J74" s="8"/>
      <c r="K74" s="8"/>
      <c r="L74" s="8"/>
    </row>
    <row r="75" spans="9:12" x14ac:dyDescent="0.3">
      <c r="I75" s="8"/>
      <c r="J75" s="8"/>
      <c r="K75" s="8"/>
      <c r="L75" s="8"/>
    </row>
    <row r="76" spans="9:12" x14ac:dyDescent="0.3">
      <c r="I76" s="8"/>
      <c r="J76" s="8"/>
      <c r="K76" s="8"/>
      <c r="L76" s="8"/>
    </row>
    <row r="77" spans="9:12" x14ac:dyDescent="0.3">
      <c r="I77" s="8"/>
      <c r="J77" s="8"/>
      <c r="K77" s="8"/>
      <c r="L77" s="8"/>
    </row>
    <row r="78" spans="9:12" x14ac:dyDescent="0.3">
      <c r="I78" s="8"/>
      <c r="J78" s="8"/>
      <c r="K78" s="8"/>
      <c r="L78" s="8"/>
    </row>
    <row r="79" spans="9:12" x14ac:dyDescent="0.3">
      <c r="I79" s="8"/>
      <c r="J79" s="8"/>
      <c r="K79" s="8"/>
      <c r="L79" s="8"/>
    </row>
    <row r="80" spans="9:12" x14ac:dyDescent="0.3">
      <c r="I80" s="8"/>
      <c r="J80" s="8"/>
      <c r="K80" s="8"/>
      <c r="L80" s="8"/>
    </row>
    <row r="81" spans="9:12" x14ac:dyDescent="0.3">
      <c r="I81" s="8"/>
      <c r="J81" s="8"/>
      <c r="K81" s="8"/>
      <c r="L81" s="8"/>
    </row>
    <row r="82" spans="9:12" x14ac:dyDescent="0.3">
      <c r="I82" s="8"/>
      <c r="J82" s="8"/>
      <c r="K82" s="8"/>
      <c r="L82" s="8"/>
    </row>
    <row r="83" spans="9:12" x14ac:dyDescent="0.3">
      <c r="I83" s="8"/>
      <c r="J83" s="8"/>
      <c r="K83" s="8"/>
      <c r="L83" s="8"/>
    </row>
    <row r="84" spans="9:12" x14ac:dyDescent="0.3">
      <c r="I84" s="8"/>
      <c r="J84" s="8"/>
      <c r="K84" s="8"/>
      <c r="L84" s="8"/>
    </row>
    <row r="85" spans="9:12" x14ac:dyDescent="0.3">
      <c r="I85" s="8"/>
      <c r="J85" s="8"/>
      <c r="K85" s="8"/>
      <c r="L85" s="8"/>
    </row>
    <row r="86" spans="9:12" x14ac:dyDescent="0.3">
      <c r="I86" s="8"/>
      <c r="J86" s="8"/>
      <c r="K86" s="8"/>
      <c r="L86" s="8"/>
    </row>
    <row r="87" spans="9:12" x14ac:dyDescent="0.3">
      <c r="I87" s="8"/>
      <c r="J87" s="8"/>
      <c r="K87" s="8"/>
      <c r="L87" s="8"/>
    </row>
    <row r="88" spans="9:12" x14ac:dyDescent="0.3">
      <c r="I88" s="8"/>
      <c r="J88" s="8"/>
      <c r="K88" s="8"/>
      <c r="L88" s="8"/>
    </row>
    <row r="89" spans="9:12" x14ac:dyDescent="0.3">
      <c r="I89" s="8"/>
      <c r="J89" s="8"/>
      <c r="K89" s="8"/>
      <c r="L89" s="8"/>
    </row>
    <row r="90" spans="9:12" x14ac:dyDescent="0.3">
      <c r="I90" s="8"/>
      <c r="J90" s="8"/>
      <c r="K90" s="8"/>
      <c r="L90" s="8"/>
    </row>
  </sheetData>
  <conditionalFormatting sqref="I5:L9">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B3688-532F-4858-8FE7-399E17B44704}">
  <dimension ref="A3:C24"/>
  <sheetViews>
    <sheetView topLeftCell="A13" workbookViewId="0">
      <selection activeCell="E17" sqref="E17"/>
    </sheetView>
  </sheetViews>
  <sheetFormatPr defaultRowHeight="14.4" x14ac:dyDescent="0.3"/>
  <cols>
    <col min="1" max="1" width="19.109375" bestFit="1" customWidth="1"/>
    <col min="2" max="2" width="13.5546875" bestFit="1" customWidth="1"/>
  </cols>
  <sheetData>
    <row r="3" spans="1:3" x14ac:dyDescent="0.3">
      <c r="A3" s="3" t="s">
        <v>2519</v>
      </c>
      <c r="B3" t="s">
        <v>2506</v>
      </c>
      <c r="C3" t="e" cm="1">
        <f t="array" ref="C3:C23">INDEX(A3:A23,MATCH(B3:B23,B17,0))</f>
        <v>#N/A</v>
      </c>
    </row>
    <row r="4" spans="1:3" x14ac:dyDescent="0.3">
      <c r="A4" s="4" t="s">
        <v>81</v>
      </c>
      <c r="B4" s="26">
        <v>4597</v>
      </c>
      <c r="C4" t="e">
        <v>#N/A</v>
      </c>
    </row>
    <row r="5" spans="1:3" x14ac:dyDescent="0.3">
      <c r="A5" s="4" t="s">
        <v>54</v>
      </c>
      <c r="B5" s="26">
        <v>30836.800000000003</v>
      </c>
      <c r="C5" t="e">
        <v>#N/A</v>
      </c>
    </row>
    <row r="6" spans="1:3" x14ac:dyDescent="0.3">
      <c r="A6" s="4" t="s">
        <v>69</v>
      </c>
      <c r="B6" s="26">
        <v>24664.600000000002</v>
      </c>
      <c r="C6" t="e">
        <v>#N/A</v>
      </c>
    </row>
    <row r="7" spans="1:3" x14ac:dyDescent="0.3">
      <c r="A7" s="4" t="s">
        <v>123</v>
      </c>
      <c r="B7" s="26">
        <v>20170.399999999998</v>
      </c>
      <c r="C7" t="e">
        <v>#N/A</v>
      </c>
    </row>
    <row r="8" spans="1:3" x14ac:dyDescent="0.3">
      <c r="A8" s="4" t="s">
        <v>32</v>
      </c>
      <c r="B8" s="26">
        <v>22988.6</v>
      </c>
      <c r="C8" t="e">
        <v>#N/A</v>
      </c>
    </row>
    <row r="9" spans="1:3" x14ac:dyDescent="0.3">
      <c r="A9" s="4" t="s">
        <v>42</v>
      </c>
      <c r="B9" s="26">
        <v>35240.5</v>
      </c>
      <c r="C9" t="e">
        <v>#N/A</v>
      </c>
    </row>
    <row r="10" spans="1:3" x14ac:dyDescent="0.3">
      <c r="A10" s="4" t="s">
        <v>39</v>
      </c>
      <c r="B10" s="26">
        <v>112893.19999999998</v>
      </c>
      <c r="C10" t="e">
        <v>#N/A</v>
      </c>
    </row>
    <row r="11" spans="1:3" x14ac:dyDescent="0.3">
      <c r="A11" s="4" t="s">
        <v>171</v>
      </c>
      <c r="B11" s="26">
        <v>1906.4</v>
      </c>
      <c r="C11" t="e">
        <v>#N/A</v>
      </c>
    </row>
    <row r="12" spans="1:3" x14ac:dyDescent="0.3">
      <c r="A12" s="4" t="s">
        <v>146</v>
      </c>
      <c r="B12" s="26">
        <v>25206.500000000004</v>
      </c>
      <c r="C12" t="e">
        <v>#N/A</v>
      </c>
    </row>
    <row r="13" spans="1:3" x14ac:dyDescent="0.3">
      <c r="A13" s="4" t="s">
        <v>67</v>
      </c>
      <c r="B13" s="26">
        <v>11025.199999999997</v>
      </c>
      <c r="C13" t="e">
        <v>#N/A</v>
      </c>
    </row>
    <row r="14" spans="1:3" x14ac:dyDescent="0.3">
      <c r="A14" s="4" t="s">
        <v>135</v>
      </c>
      <c r="B14" s="26">
        <v>11263.6</v>
      </c>
      <c r="C14" t="e">
        <v>#N/A</v>
      </c>
    </row>
    <row r="15" spans="1:3" x14ac:dyDescent="0.3">
      <c r="A15" s="4" t="s">
        <v>37</v>
      </c>
      <c r="B15" s="26">
        <v>31608.100000000009</v>
      </c>
      <c r="C15" t="e">
        <v>#N/A</v>
      </c>
    </row>
    <row r="16" spans="1:3" x14ac:dyDescent="0.3">
      <c r="A16" s="4" t="s">
        <v>16</v>
      </c>
      <c r="B16" s="26">
        <v>16316.4</v>
      </c>
      <c r="C16" t="e">
        <v>#N/A</v>
      </c>
    </row>
    <row r="17" spans="1:3" x14ac:dyDescent="0.3">
      <c r="A17" s="4" t="s">
        <v>26</v>
      </c>
      <c r="B17" s="26">
        <v>127637.5</v>
      </c>
      <c r="C17" t="str">
        <v>Products</v>
      </c>
    </row>
    <row r="18" spans="1:3" x14ac:dyDescent="0.3">
      <c r="A18" s="4" t="s">
        <v>46</v>
      </c>
      <c r="B18" s="26">
        <v>32052.80000000001</v>
      </c>
      <c r="C18" t="e">
        <v>#N/A</v>
      </c>
    </row>
    <row r="19" spans="1:3" x14ac:dyDescent="0.3">
      <c r="A19" s="4" t="s">
        <v>128</v>
      </c>
      <c r="B19" s="26">
        <v>10705.5</v>
      </c>
      <c r="C19" t="e">
        <v>#N/A</v>
      </c>
    </row>
    <row r="20" spans="1:3" x14ac:dyDescent="0.3">
      <c r="A20" s="4" t="s">
        <v>22</v>
      </c>
      <c r="B20" s="26">
        <v>57394.000000000022</v>
      </c>
      <c r="C20" t="e">
        <v>#N/A</v>
      </c>
    </row>
    <row r="21" spans="1:3" x14ac:dyDescent="0.3">
      <c r="A21" s="4" t="s">
        <v>76</v>
      </c>
      <c r="B21" s="26">
        <v>6288.5999999999995</v>
      </c>
      <c r="C21" t="e">
        <v>#N/A</v>
      </c>
    </row>
    <row r="22" spans="1:3" x14ac:dyDescent="0.3">
      <c r="A22" s="4" t="s">
        <v>44</v>
      </c>
      <c r="B22" s="26">
        <v>49555.900000000023</v>
      </c>
      <c r="C22" t="e">
        <v>#N/A</v>
      </c>
    </row>
    <row r="23" spans="1:3" x14ac:dyDescent="0.3">
      <c r="A23" s="4" t="s">
        <v>30</v>
      </c>
      <c r="B23" s="26">
        <v>16668.2</v>
      </c>
      <c r="C23" t="e">
        <v>#N/A</v>
      </c>
    </row>
    <row r="24" spans="1:3" x14ac:dyDescent="0.3">
      <c r="A24" s="4" t="s">
        <v>2515</v>
      </c>
      <c r="B24" s="26">
        <v>649019.80000000005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4F2E1-0DDA-4D12-80A7-7378BC0F6A34}">
  <dimension ref="A3:P112"/>
  <sheetViews>
    <sheetView topLeftCell="A45" workbookViewId="0">
      <selection activeCell="F53" sqref="F53:H110"/>
    </sheetView>
  </sheetViews>
  <sheetFormatPr defaultRowHeight="14.4" x14ac:dyDescent="0.3"/>
  <cols>
    <col min="1" max="1" width="19.109375" bestFit="1" customWidth="1"/>
    <col min="2" max="2" width="19.6640625" bestFit="1" customWidth="1"/>
    <col min="3" max="3" width="14.21875" bestFit="1" customWidth="1"/>
    <col min="4" max="4" width="13.5546875" bestFit="1" customWidth="1"/>
    <col min="5" max="5" width="8.5546875" bestFit="1" customWidth="1"/>
    <col min="6" max="6" width="10.5546875" bestFit="1" customWidth="1"/>
    <col min="7" max="7" width="19.6640625" bestFit="1" customWidth="1"/>
    <col min="8" max="8" width="14.21875" bestFit="1" customWidth="1"/>
    <col min="9" max="9" width="12.44140625" bestFit="1" customWidth="1"/>
    <col min="10" max="10" width="15.5546875" bestFit="1" customWidth="1"/>
    <col min="11" max="12" width="4" bestFit="1" customWidth="1"/>
    <col min="13" max="13" width="5" bestFit="1" customWidth="1"/>
    <col min="14" max="14" width="4" bestFit="1" customWidth="1"/>
    <col min="15" max="15" width="10.5546875" bestFit="1" customWidth="1"/>
    <col min="16" max="16" width="13.5546875" bestFit="1" customWidth="1"/>
    <col min="17" max="40" width="9" bestFit="1" customWidth="1"/>
    <col min="41" max="97" width="9.44140625" bestFit="1" customWidth="1"/>
    <col min="98" max="98" width="10.5546875" bestFit="1" customWidth="1"/>
  </cols>
  <sheetData>
    <row r="3" spans="1:16" x14ac:dyDescent="0.3">
      <c r="A3" s="3" t="s">
        <v>2506</v>
      </c>
      <c r="B3" s="3" t="s">
        <v>2514</v>
      </c>
    </row>
    <row r="4" spans="1:16" x14ac:dyDescent="0.3">
      <c r="A4" s="3" t="s">
        <v>2516</v>
      </c>
      <c r="B4" t="s">
        <v>2525</v>
      </c>
      <c r="C4" t="s">
        <v>2524</v>
      </c>
      <c r="D4" t="s">
        <v>2517</v>
      </c>
      <c r="E4" t="s">
        <v>2526</v>
      </c>
      <c r="F4" t="s">
        <v>2515</v>
      </c>
    </row>
    <row r="5" spans="1:16" x14ac:dyDescent="0.3">
      <c r="A5" s="4" t="s">
        <v>26</v>
      </c>
      <c r="B5" s="26">
        <v>65526.899999999987</v>
      </c>
      <c r="C5" s="26">
        <v>42922.100000000006</v>
      </c>
      <c r="D5" s="26">
        <v>3173</v>
      </c>
      <c r="E5" s="26">
        <v>16015.5</v>
      </c>
      <c r="F5" s="26">
        <v>127637.5</v>
      </c>
    </row>
    <row r="6" spans="1:16" x14ac:dyDescent="0.3">
      <c r="A6" s="4" t="s">
        <v>39</v>
      </c>
      <c r="B6" s="26">
        <v>51517.69999999999</v>
      </c>
      <c r="C6" s="26">
        <v>42448.80000000001</v>
      </c>
      <c r="D6" s="26">
        <v>1788.7</v>
      </c>
      <c r="E6" s="26">
        <v>17138</v>
      </c>
      <c r="F6" s="26">
        <v>112893.2</v>
      </c>
    </row>
    <row r="7" spans="1:16" x14ac:dyDescent="0.3">
      <c r="A7" s="4" t="s">
        <v>22</v>
      </c>
      <c r="B7" s="26">
        <v>36637.9</v>
      </c>
      <c r="C7" s="26">
        <v>18378.100000000006</v>
      </c>
      <c r="D7" s="26">
        <v>1304.5999999999999</v>
      </c>
      <c r="E7" s="26">
        <v>1073.4000000000001</v>
      </c>
      <c r="F7" s="26">
        <v>57394.000000000007</v>
      </c>
      <c r="L7" s="3" t="s">
        <v>2516</v>
      </c>
      <c r="M7" t="s">
        <v>2506</v>
      </c>
    </row>
    <row r="8" spans="1:16" x14ac:dyDescent="0.3">
      <c r="A8" s="4" t="s">
        <v>44</v>
      </c>
      <c r="B8" s="26">
        <v>23579</v>
      </c>
      <c r="C8" s="26">
        <v>20907.899999999998</v>
      </c>
      <c r="D8" s="26">
        <v>2266.7999999999997</v>
      </c>
      <c r="E8" s="26">
        <v>2802.2000000000003</v>
      </c>
      <c r="F8" s="26">
        <v>49555.899999999994</v>
      </c>
      <c r="L8" s="4" t="s">
        <v>2525</v>
      </c>
      <c r="M8" s="26">
        <v>340707.60000000009</v>
      </c>
      <c r="O8" s="3" t="s">
        <v>2516</v>
      </c>
      <c r="P8" t="s">
        <v>2506</v>
      </c>
    </row>
    <row r="9" spans="1:16" x14ac:dyDescent="0.3">
      <c r="A9" s="4" t="s">
        <v>42</v>
      </c>
      <c r="B9" s="26">
        <v>15958.099999999999</v>
      </c>
      <c r="C9" s="26">
        <v>17923.5</v>
      </c>
      <c r="D9" s="26">
        <v>894</v>
      </c>
      <c r="E9" s="26">
        <v>464.9</v>
      </c>
      <c r="F9" s="26">
        <v>35240.5</v>
      </c>
      <c r="L9" s="4" t="s">
        <v>2524</v>
      </c>
      <c r="M9" s="26">
        <v>240895.6999999999</v>
      </c>
      <c r="O9" s="4" t="s">
        <v>2525</v>
      </c>
      <c r="P9" s="26">
        <v>340707.60000000009</v>
      </c>
    </row>
    <row r="10" spans="1:16" x14ac:dyDescent="0.3">
      <c r="A10" s="4" t="s">
        <v>46</v>
      </c>
      <c r="B10" s="26">
        <v>20737.599999999999</v>
      </c>
      <c r="C10" s="26">
        <v>8644.8999999999978</v>
      </c>
      <c r="D10" s="26">
        <v>656.7</v>
      </c>
      <c r="E10" s="26">
        <v>2013.6000000000001</v>
      </c>
      <c r="F10" s="26">
        <v>32052.799999999996</v>
      </c>
      <c r="L10" s="4" t="s">
        <v>2517</v>
      </c>
      <c r="M10" s="26">
        <v>17034.099999999995</v>
      </c>
      <c r="O10" s="4" t="s">
        <v>2524</v>
      </c>
      <c r="P10" s="26">
        <v>240895.6999999999</v>
      </c>
    </row>
    <row r="11" spans="1:16" x14ac:dyDescent="0.3">
      <c r="A11" s="4" t="s">
        <v>37</v>
      </c>
      <c r="B11" s="26">
        <v>16244.9</v>
      </c>
      <c r="C11" s="26">
        <v>13831.999999999996</v>
      </c>
      <c r="D11" s="26">
        <v>558.1</v>
      </c>
      <c r="E11" s="26">
        <v>973.10000000000014</v>
      </c>
      <c r="F11" s="26">
        <v>31608.099999999991</v>
      </c>
      <c r="L11" s="4" t="s">
        <v>2526</v>
      </c>
      <c r="M11" s="26">
        <v>50382.400000000001</v>
      </c>
      <c r="O11" s="4" t="s">
        <v>2517</v>
      </c>
      <c r="P11" s="26">
        <v>17034.099999999995</v>
      </c>
    </row>
    <row r="12" spans="1:16" x14ac:dyDescent="0.3">
      <c r="A12" s="4" t="s">
        <v>54</v>
      </c>
      <c r="B12" s="26">
        <v>18259.300000000003</v>
      </c>
      <c r="C12" s="26">
        <v>11586.300000000001</v>
      </c>
      <c r="D12" s="26">
        <v>216.79999999999998</v>
      </c>
      <c r="E12" s="26">
        <v>774.40000000000009</v>
      </c>
      <c r="F12" s="26">
        <v>30836.800000000007</v>
      </c>
      <c r="L12" s="4" t="s">
        <v>2515</v>
      </c>
      <c r="M12" s="26">
        <v>649019.80000000005</v>
      </c>
      <c r="O12" s="4" t="s">
        <v>2526</v>
      </c>
      <c r="P12" s="26">
        <v>50382.400000000001</v>
      </c>
    </row>
    <row r="13" spans="1:16" x14ac:dyDescent="0.3">
      <c r="A13" s="4" t="s">
        <v>146</v>
      </c>
      <c r="B13" s="26">
        <v>14225.499999999996</v>
      </c>
      <c r="C13" s="26">
        <v>8705.9</v>
      </c>
      <c r="D13" s="26">
        <v>606.79999999999995</v>
      </c>
      <c r="E13" s="26">
        <v>1668.3000000000002</v>
      </c>
      <c r="F13" s="26">
        <v>25206.499999999993</v>
      </c>
      <c r="O13" s="4" t="s">
        <v>2515</v>
      </c>
      <c r="P13" s="26">
        <v>649019.80000000005</v>
      </c>
    </row>
    <row r="14" spans="1:16" x14ac:dyDescent="0.3">
      <c r="A14" s="4" t="s">
        <v>69</v>
      </c>
      <c r="B14" s="26">
        <v>15491.400000000005</v>
      </c>
      <c r="C14" s="26">
        <v>6208.1</v>
      </c>
      <c r="D14" s="26">
        <v>1415.4</v>
      </c>
      <c r="E14" s="26">
        <v>1549.7</v>
      </c>
      <c r="F14" s="26">
        <v>24664.600000000009</v>
      </c>
    </row>
    <row r="15" spans="1:16" x14ac:dyDescent="0.3">
      <c r="A15" s="4" t="s">
        <v>32</v>
      </c>
      <c r="B15" s="26">
        <v>15089.999999999995</v>
      </c>
      <c r="C15" s="26">
        <v>6977.3</v>
      </c>
      <c r="D15" s="26">
        <v>537.70000000000005</v>
      </c>
      <c r="E15" s="26">
        <v>383.6</v>
      </c>
      <c r="F15" s="26">
        <v>22988.599999999995</v>
      </c>
    </row>
    <row r="16" spans="1:16" x14ac:dyDescent="0.3">
      <c r="A16" s="4" t="s">
        <v>123</v>
      </c>
      <c r="B16" s="26">
        <v>7255.300000000002</v>
      </c>
      <c r="C16" s="26">
        <v>11228.900000000001</v>
      </c>
      <c r="D16" s="26">
        <v>1310.3</v>
      </c>
      <c r="E16" s="26">
        <v>375.90000000000003</v>
      </c>
      <c r="F16" s="26">
        <v>20170.400000000005</v>
      </c>
    </row>
    <row r="17" spans="1:15" x14ac:dyDescent="0.3">
      <c r="A17" s="4" t="s">
        <v>30</v>
      </c>
      <c r="B17" s="26">
        <v>8267.2000000000007</v>
      </c>
      <c r="C17" s="26">
        <v>6150.8</v>
      </c>
      <c r="D17" s="26">
        <v>222.8</v>
      </c>
      <c r="E17" s="26">
        <v>2027.4</v>
      </c>
      <c r="F17" s="26">
        <v>16668.2</v>
      </c>
    </row>
    <row r="18" spans="1:15" x14ac:dyDescent="0.3">
      <c r="A18" s="4" t="s">
        <v>16</v>
      </c>
      <c r="B18" s="26">
        <v>9612.6999999999953</v>
      </c>
      <c r="C18" s="26">
        <v>6373.0999999999995</v>
      </c>
      <c r="D18" s="26"/>
      <c r="E18" s="26">
        <v>330.6</v>
      </c>
      <c r="F18" s="26">
        <v>16316.399999999996</v>
      </c>
    </row>
    <row r="19" spans="1:15" x14ac:dyDescent="0.3">
      <c r="A19" s="4" t="s">
        <v>135</v>
      </c>
      <c r="B19" s="26">
        <v>4965.8</v>
      </c>
      <c r="C19" s="26">
        <v>4991</v>
      </c>
      <c r="D19" s="26">
        <v>670.80000000000007</v>
      </c>
      <c r="E19" s="26">
        <v>636</v>
      </c>
      <c r="F19" s="26">
        <v>11263.599999999999</v>
      </c>
    </row>
    <row r="20" spans="1:15" x14ac:dyDescent="0.3">
      <c r="A20" s="4" t="s">
        <v>67</v>
      </c>
      <c r="B20" s="26">
        <v>7367.1</v>
      </c>
      <c r="C20" s="26">
        <v>3362.3000000000006</v>
      </c>
      <c r="D20" s="26">
        <v>295.79999999999995</v>
      </c>
      <c r="E20" s="26"/>
      <c r="F20" s="26">
        <v>11025.2</v>
      </c>
    </row>
    <row r="21" spans="1:15" x14ac:dyDescent="0.3">
      <c r="A21" s="4" t="s">
        <v>128</v>
      </c>
      <c r="B21" s="26">
        <v>5668.8999999999987</v>
      </c>
      <c r="C21" s="26">
        <v>3198.4</v>
      </c>
      <c r="D21" s="26">
        <v>109.80000000000001</v>
      </c>
      <c r="E21" s="26">
        <v>1728.4</v>
      </c>
      <c r="F21" s="26">
        <v>10705.499999999998</v>
      </c>
    </row>
    <row r="22" spans="1:15" x14ac:dyDescent="0.3">
      <c r="A22" s="4" t="s">
        <v>76</v>
      </c>
      <c r="B22" s="26">
        <v>2640.7999999999997</v>
      </c>
      <c r="C22" s="26">
        <v>3242.2</v>
      </c>
      <c r="D22" s="26">
        <v>90.4</v>
      </c>
      <c r="E22" s="26">
        <v>315.20000000000005</v>
      </c>
      <c r="F22" s="26">
        <v>6288.5999999999995</v>
      </c>
    </row>
    <row r="23" spans="1:15" x14ac:dyDescent="0.3">
      <c r="A23" s="4" t="s">
        <v>81</v>
      </c>
      <c r="B23" s="26">
        <v>1235.3</v>
      </c>
      <c r="C23" s="26">
        <v>2420.7000000000003</v>
      </c>
      <c r="D23" s="26">
        <v>828.8</v>
      </c>
      <c r="E23" s="26">
        <v>112.19999999999999</v>
      </c>
      <c r="F23" s="26">
        <v>4597</v>
      </c>
    </row>
    <row r="24" spans="1:15" x14ac:dyDescent="0.3">
      <c r="A24" s="4" t="s">
        <v>171</v>
      </c>
      <c r="B24" s="26">
        <v>426.2</v>
      </c>
      <c r="C24" s="26">
        <v>1393.4</v>
      </c>
      <c r="D24" s="26">
        <v>86.8</v>
      </c>
      <c r="E24" s="26"/>
      <c r="F24" s="26">
        <v>1906.4</v>
      </c>
    </row>
    <row r="25" spans="1:15" x14ac:dyDescent="0.3">
      <c r="A25" s="4" t="s">
        <v>2515</v>
      </c>
      <c r="B25" s="26">
        <v>340707.6</v>
      </c>
      <c r="C25" s="26">
        <v>240895.69999999998</v>
      </c>
      <c r="D25" s="26">
        <v>17034.099999999999</v>
      </c>
      <c r="E25" s="26">
        <v>50382.399999999994</v>
      </c>
      <c r="F25" s="26">
        <v>649019.79999999993</v>
      </c>
      <c r="I25" s="3" t="s">
        <v>2504</v>
      </c>
      <c r="J25" s="3" t="s">
        <v>2514</v>
      </c>
    </row>
    <row r="26" spans="1:15" x14ac:dyDescent="0.3">
      <c r="I26" s="3" t="s">
        <v>2516</v>
      </c>
      <c r="J26">
        <v>1</v>
      </c>
      <c r="K26">
        <v>2</v>
      </c>
      <c r="L26">
        <v>3</v>
      </c>
      <c r="M26">
        <v>4</v>
      </c>
      <c r="N26">
        <v>5</v>
      </c>
      <c r="O26" t="s">
        <v>2515</v>
      </c>
    </row>
    <row r="27" spans="1:15" x14ac:dyDescent="0.3">
      <c r="I27" s="4" t="s">
        <v>2521</v>
      </c>
      <c r="J27" s="26">
        <v>7</v>
      </c>
      <c r="K27" s="26">
        <v>37</v>
      </c>
      <c r="L27" s="26">
        <v>150</v>
      </c>
      <c r="M27" s="26">
        <v>312</v>
      </c>
      <c r="N27" s="26">
        <v>224</v>
      </c>
      <c r="O27" s="26">
        <v>730</v>
      </c>
    </row>
    <row r="28" spans="1:15" x14ac:dyDescent="0.3">
      <c r="I28" s="4" t="s">
        <v>2522</v>
      </c>
      <c r="J28" s="26">
        <v>8</v>
      </c>
      <c r="K28" s="26">
        <v>51</v>
      </c>
      <c r="L28" s="26">
        <v>182</v>
      </c>
      <c r="M28" s="26">
        <v>373</v>
      </c>
      <c r="N28" s="26">
        <v>247</v>
      </c>
      <c r="O28" s="26">
        <v>861</v>
      </c>
    </row>
    <row r="29" spans="1:15" x14ac:dyDescent="0.3">
      <c r="I29" s="4" t="s">
        <v>2523</v>
      </c>
      <c r="J29" s="26">
        <v>6</v>
      </c>
      <c r="K29" s="26">
        <v>39</v>
      </c>
      <c r="L29" s="26">
        <v>163</v>
      </c>
      <c r="M29" s="26">
        <v>351</v>
      </c>
      <c r="N29" s="26">
        <v>250</v>
      </c>
      <c r="O29" s="26">
        <v>809</v>
      </c>
    </row>
    <row r="30" spans="1:15" x14ac:dyDescent="0.3">
      <c r="I30" s="4" t="s">
        <v>2515</v>
      </c>
      <c r="J30" s="26">
        <v>21</v>
      </c>
      <c r="K30" s="26">
        <v>127</v>
      </c>
      <c r="L30" s="26">
        <v>495</v>
      </c>
      <c r="M30" s="26">
        <v>1036</v>
      </c>
      <c r="N30" s="26">
        <v>721</v>
      </c>
      <c r="O30" s="26">
        <v>2400</v>
      </c>
    </row>
    <row r="52" spans="1:13" x14ac:dyDescent="0.3">
      <c r="A52" s="3" t="s">
        <v>10</v>
      </c>
      <c r="B52" s="3" t="s">
        <v>11</v>
      </c>
      <c r="C52" t="s">
        <v>2505</v>
      </c>
      <c r="D52" t="s">
        <v>2506</v>
      </c>
      <c r="F52" s="18" t="s">
        <v>10</v>
      </c>
      <c r="G52" s="18" t="s">
        <v>11</v>
      </c>
      <c r="H52" s="18" t="s">
        <v>2505</v>
      </c>
      <c r="J52" s="21" t="s">
        <v>10</v>
      </c>
      <c r="K52" s="21" t="s">
        <v>11</v>
      </c>
      <c r="L52" s="21"/>
      <c r="M52" s="21" t="s">
        <v>2506</v>
      </c>
    </row>
    <row r="53" spans="1:13" x14ac:dyDescent="0.3">
      <c r="A53" t="s">
        <v>19</v>
      </c>
      <c r="B53" t="s">
        <v>115</v>
      </c>
      <c r="C53" s="26">
        <v>579</v>
      </c>
      <c r="D53" s="26">
        <v>31884.999999999996</v>
      </c>
      <c r="F53" s="19" t="str">
        <f>IF(A53="","",A53)</f>
        <v>California</v>
      </c>
      <c r="G53" s="19" t="str">
        <f t="shared" ref="G53:H53" si="0">IF(B53="","",B53)</f>
        <v>Alameda County</v>
      </c>
      <c r="H53" s="19">
        <f t="shared" si="0"/>
        <v>579</v>
      </c>
      <c r="J53" s="22" t="s">
        <v>19</v>
      </c>
      <c r="K53" s="23" t="s">
        <v>115</v>
      </c>
      <c r="L53" s="23"/>
      <c r="M53" s="23">
        <v>31884.999999999996</v>
      </c>
    </row>
    <row r="54" spans="1:13" x14ac:dyDescent="0.3">
      <c r="A54" t="s">
        <v>19</v>
      </c>
      <c r="B54" t="s">
        <v>20</v>
      </c>
      <c r="C54" s="26">
        <v>1</v>
      </c>
      <c r="D54" s="26">
        <v>10.9</v>
      </c>
      <c r="F54" s="19" t="str">
        <f t="shared" ref="F54:F110" si="1">IF(A54="","",A54)</f>
        <v>California</v>
      </c>
      <c r="G54" s="19" t="str">
        <f t="shared" ref="G54:G110" si="2">IF(B54="","",B54)</f>
        <v>Alpine County</v>
      </c>
      <c r="H54" s="19">
        <f t="shared" ref="H54:H110" si="3">IF(C54="","",C54)</f>
        <v>1</v>
      </c>
      <c r="J54" s="22" t="s">
        <v>19</v>
      </c>
      <c r="K54" s="23" t="s">
        <v>20</v>
      </c>
      <c r="L54" s="23"/>
      <c r="M54" s="23">
        <v>10.9</v>
      </c>
    </row>
    <row r="55" spans="1:13" x14ac:dyDescent="0.3">
      <c r="A55" t="s">
        <v>19</v>
      </c>
      <c r="B55" t="s">
        <v>641</v>
      </c>
      <c r="C55" s="26">
        <v>9</v>
      </c>
      <c r="D55" s="26">
        <v>800.3</v>
      </c>
      <c r="F55" s="19" t="str">
        <f t="shared" si="1"/>
        <v>California</v>
      </c>
      <c r="G55" s="19" t="str">
        <f t="shared" si="2"/>
        <v>Amador County</v>
      </c>
      <c r="H55" s="19">
        <f t="shared" si="3"/>
        <v>9</v>
      </c>
      <c r="J55" s="22" t="s">
        <v>19</v>
      </c>
      <c r="K55" s="23" t="s">
        <v>641</v>
      </c>
      <c r="L55" s="23"/>
      <c r="M55" s="23">
        <v>800.3</v>
      </c>
    </row>
    <row r="56" spans="1:13" x14ac:dyDescent="0.3">
      <c r="A56" t="s">
        <v>19</v>
      </c>
      <c r="B56" t="s">
        <v>967</v>
      </c>
      <c r="C56" s="26">
        <v>35</v>
      </c>
      <c r="D56" s="26">
        <v>1062.5999999999999</v>
      </c>
      <c r="F56" s="19" t="str">
        <f t="shared" si="1"/>
        <v>California</v>
      </c>
      <c r="G56" s="19" t="str">
        <f t="shared" si="2"/>
        <v>Butte County</v>
      </c>
      <c r="H56" s="19">
        <f t="shared" si="3"/>
        <v>35</v>
      </c>
      <c r="J56" s="22" t="s">
        <v>19</v>
      </c>
      <c r="K56" s="23" t="s">
        <v>967</v>
      </c>
      <c r="L56" s="23"/>
      <c r="M56" s="23">
        <v>1062.5999999999999</v>
      </c>
    </row>
    <row r="57" spans="1:13" x14ac:dyDescent="0.3">
      <c r="A57" t="s">
        <v>19</v>
      </c>
      <c r="B57" t="s">
        <v>84</v>
      </c>
      <c r="C57" s="26">
        <v>12</v>
      </c>
      <c r="D57" s="26">
        <v>326.20000000000005</v>
      </c>
      <c r="F57" s="19" t="str">
        <f t="shared" si="1"/>
        <v>California</v>
      </c>
      <c r="G57" s="19" t="str">
        <f t="shared" si="2"/>
        <v>Calaveras County</v>
      </c>
      <c r="H57" s="19">
        <f t="shared" si="3"/>
        <v>12</v>
      </c>
      <c r="J57" s="22" t="s">
        <v>19</v>
      </c>
      <c r="K57" s="23" t="s">
        <v>84</v>
      </c>
      <c r="L57" s="23"/>
      <c r="M57" s="23">
        <v>326.20000000000005</v>
      </c>
    </row>
    <row r="58" spans="1:13" x14ac:dyDescent="0.3">
      <c r="A58" t="s">
        <v>19</v>
      </c>
      <c r="B58" t="s">
        <v>1383</v>
      </c>
      <c r="C58" s="26">
        <v>4</v>
      </c>
      <c r="D58" s="26">
        <v>167.5</v>
      </c>
      <c r="F58" s="19" t="str">
        <f t="shared" si="1"/>
        <v>California</v>
      </c>
      <c r="G58" s="19" t="str">
        <f t="shared" si="2"/>
        <v>Colusa County</v>
      </c>
      <c r="H58" s="19">
        <f t="shared" si="3"/>
        <v>4</v>
      </c>
      <c r="J58" s="22" t="s">
        <v>19</v>
      </c>
      <c r="K58" s="23" t="s">
        <v>1383</v>
      </c>
      <c r="L58" s="23"/>
      <c r="M58" s="23">
        <v>167.5</v>
      </c>
    </row>
    <row r="59" spans="1:13" x14ac:dyDescent="0.3">
      <c r="A59" t="s">
        <v>19</v>
      </c>
      <c r="B59" t="s">
        <v>24</v>
      </c>
      <c r="C59" s="26">
        <v>341</v>
      </c>
      <c r="D59" s="26">
        <v>16168.7</v>
      </c>
      <c r="F59" s="19" t="str">
        <f t="shared" si="1"/>
        <v>California</v>
      </c>
      <c r="G59" s="19" t="str">
        <f t="shared" si="2"/>
        <v>Contra Costa County</v>
      </c>
      <c r="H59" s="19">
        <f t="shared" si="3"/>
        <v>341</v>
      </c>
      <c r="J59" s="22" t="s">
        <v>19</v>
      </c>
      <c r="K59" s="23" t="s">
        <v>24</v>
      </c>
      <c r="L59" s="23"/>
      <c r="M59" s="23">
        <v>16168.7</v>
      </c>
    </row>
    <row r="60" spans="1:13" x14ac:dyDescent="0.3">
      <c r="A60" t="s">
        <v>19</v>
      </c>
      <c r="B60" t="s">
        <v>2204</v>
      </c>
      <c r="C60" s="26">
        <v>13</v>
      </c>
      <c r="D60" s="26">
        <v>322.40000000000003</v>
      </c>
      <c r="F60" s="19" t="str">
        <f t="shared" si="1"/>
        <v>California</v>
      </c>
      <c r="G60" s="19" t="str">
        <f t="shared" si="2"/>
        <v>Del Norte County</v>
      </c>
      <c r="H60" s="19">
        <f t="shared" si="3"/>
        <v>13</v>
      </c>
      <c r="J60" s="22" t="s">
        <v>19</v>
      </c>
      <c r="K60" s="23" t="s">
        <v>2204</v>
      </c>
      <c r="L60" s="23"/>
      <c r="M60" s="23">
        <v>322.40000000000003</v>
      </c>
    </row>
    <row r="61" spans="1:13" x14ac:dyDescent="0.3">
      <c r="A61" t="s">
        <v>19</v>
      </c>
      <c r="B61" t="s">
        <v>437</v>
      </c>
      <c r="C61" s="26">
        <v>31</v>
      </c>
      <c r="D61" s="26">
        <v>2092.8000000000002</v>
      </c>
      <c r="F61" s="19" t="str">
        <f t="shared" si="1"/>
        <v>California</v>
      </c>
      <c r="G61" s="19" t="str">
        <f t="shared" si="2"/>
        <v>El Dorado County</v>
      </c>
      <c r="H61" s="19">
        <f t="shared" si="3"/>
        <v>31</v>
      </c>
      <c r="J61" s="22" t="s">
        <v>19</v>
      </c>
      <c r="K61" s="23" t="s">
        <v>437</v>
      </c>
      <c r="L61" s="23"/>
      <c r="M61" s="23">
        <v>2092.8000000000002</v>
      </c>
    </row>
    <row r="62" spans="1:13" x14ac:dyDescent="0.3">
      <c r="A62" t="s">
        <v>19</v>
      </c>
      <c r="B62" t="s">
        <v>28</v>
      </c>
      <c r="C62" s="26">
        <v>279</v>
      </c>
      <c r="D62" s="26">
        <v>12662.500000000002</v>
      </c>
      <c r="F62" s="19" t="str">
        <f t="shared" si="1"/>
        <v>California</v>
      </c>
      <c r="G62" s="19" t="str">
        <f t="shared" si="2"/>
        <v>Fresno County</v>
      </c>
      <c r="H62" s="19">
        <f t="shared" si="3"/>
        <v>279</v>
      </c>
      <c r="J62" s="22" t="s">
        <v>19</v>
      </c>
      <c r="K62" s="23" t="s">
        <v>28</v>
      </c>
      <c r="L62" s="23"/>
      <c r="M62" s="23">
        <v>12662.500000000002</v>
      </c>
    </row>
    <row r="63" spans="1:13" x14ac:dyDescent="0.3">
      <c r="A63" t="s">
        <v>19</v>
      </c>
      <c r="B63" t="s">
        <v>208</v>
      </c>
      <c r="C63" s="26">
        <v>9</v>
      </c>
      <c r="D63" s="26">
        <v>343.2</v>
      </c>
      <c r="F63" s="19" t="str">
        <f t="shared" si="1"/>
        <v>California</v>
      </c>
      <c r="G63" s="19" t="str">
        <f t="shared" si="2"/>
        <v>Glenn County</v>
      </c>
      <c r="H63" s="19">
        <f t="shared" si="3"/>
        <v>9</v>
      </c>
      <c r="J63" s="22" t="s">
        <v>19</v>
      </c>
      <c r="K63" s="23" t="s">
        <v>208</v>
      </c>
      <c r="L63" s="23"/>
      <c r="M63" s="23">
        <v>343.2</v>
      </c>
    </row>
    <row r="64" spans="1:13" x14ac:dyDescent="0.3">
      <c r="A64" t="s">
        <v>19</v>
      </c>
      <c r="B64" t="s">
        <v>587</v>
      </c>
      <c r="C64" s="26">
        <v>49</v>
      </c>
      <c r="D64" s="26">
        <v>2188.2999999999997</v>
      </c>
      <c r="F64" s="19" t="str">
        <f t="shared" si="1"/>
        <v>California</v>
      </c>
      <c r="G64" s="19" t="str">
        <f t="shared" si="2"/>
        <v>Humboldt County</v>
      </c>
      <c r="H64" s="19">
        <f t="shared" si="3"/>
        <v>49</v>
      </c>
      <c r="J64" s="22" t="s">
        <v>19</v>
      </c>
      <c r="K64" s="23" t="s">
        <v>587</v>
      </c>
      <c r="L64" s="23"/>
      <c r="M64" s="23">
        <v>2188.2999999999997</v>
      </c>
    </row>
    <row r="65" spans="1:13" x14ac:dyDescent="0.3">
      <c r="A65" t="s">
        <v>19</v>
      </c>
      <c r="B65" t="s">
        <v>331</v>
      </c>
      <c r="C65" s="26">
        <v>59</v>
      </c>
      <c r="D65" s="26">
        <v>2661.5999999999995</v>
      </c>
      <c r="F65" s="19" t="str">
        <f t="shared" si="1"/>
        <v>California</v>
      </c>
      <c r="G65" s="19" t="str">
        <f t="shared" si="2"/>
        <v>Imperial County</v>
      </c>
      <c r="H65" s="19">
        <f t="shared" si="3"/>
        <v>59</v>
      </c>
      <c r="J65" s="22" t="s">
        <v>19</v>
      </c>
      <c r="K65" s="23" t="s">
        <v>331</v>
      </c>
      <c r="L65" s="23"/>
      <c r="M65" s="23">
        <v>2661.5999999999995</v>
      </c>
    </row>
    <row r="66" spans="1:13" x14ac:dyDescent="0.3">
      <c r="A66" t="s">
        <v>19</v>
      </c>
      <c r="B66" t="s">
        <v>86</v>
      </c>
      <c r="C66" s="26">
        <v>8</v>
      </c>
      <c r="D66" s="26">
        <v>887.5</v>
      </c>
      <c r="F66" s="19" t="str">
        <f t="shared" si="1"/>
        <v>California</v>
      </c>
      <c r="G66" s="19" t="str">
        <f t="shared" si="2"/>
        <v>Inyo County</v>
      </c>
      <c r="H66" s="19">
        <f t="shared" si="3"/>
        <v>8</v>
      </c>
      <c r="J66" s="22" t="s">
        <v>19</v>
      </c>
      <c r="K66" s="23" t="s">
        <v>86</v>
      </c>
      <c r="L66" s="23"/>
      <c r="M66" s="23">
        <v>887.5</v>
      </c>
    </row>
    <row r="67" spans="1:13" x14ac:dyDescent="0.3">
      <c r="A67" t="s">
        <v>19</v>
      </c>
      <c r="B67" t="s">
        <v>147</v>
      </c>
      <c r="C67" s="26">
        <v>222</v>
      </c>
      <c r="D67" s="26">
        <v>11354.199999999993</v>
      </c>
      <c r="F67" s="19" t="str">
        <f t="shared" si="1"/>
        <v>California</v>
      </c>
      <c r="G67" s="19" t="str">
        <f t="shared" si="2"/>
        <v>Kern County</v>
      </c>
      <c r="H67" s="19">
        <f t="shared" si="3"/>
        <v>222</v>
      </c>
      <c r="J67" s="22" t="s">
        <v>19</v>
      </c>
      <c r="K67" s="23" t="s">
        <v>147</v>
      </c>
      <c r="L67" s="23"/>
      <c r="M67" s="23">
        <v>11354.199999999993</v>
      </c>
    </row>
    <row r="68" spans="1:13" x14ac:dyDescent="0.3">
      <c r="A68" t="s">
        <v>19</v>
      </c>
      <c r="B68" t="s">
        <v>334</v>
      </c>
      <c r="C68" s="26">
        <v>36</v>
      </c>
      <c r="D68" s="26">
        <v>1558.4</v>
      </c>
      <c r="F68" s="19" t="str">
        <f t="shared" si="1"/>
        <v>California</v>
      </c>
      <c r="G68" s="19" t="str">
        <f t="shared" si="2"/>
        <v>Kings County</v>
      </c>
      <c r="H68" s="19">
        <f t="shared" si="3"/>
        <v>36</v>
      </c>
      <c r="J68" s="22" t="s">
        <v>19</v>
      </c>
      <c r="K68" s="23" t="s">
        <v>334</v>
      </c>
      <c r="L68" s="23"/>
      <c r="M68" s="23">
        <v>1558.4</v>
      </c>
    </row>
    <row r="69" spans="1:13" x14ac:dyDescent="0.3">
      <c r="A69" t="s">
        <v>19</v>
      </c>
      <c r="B69" t="s">
        <v>949</v>
      </c>
      <c r="C69" s="26">
        <v>30</v>
      </c>
      <c r="D69" s="26">
        <v>2223.9</v>
      </c>
      <c r="F69" s="19" t="str">
        <f t="shared" si="1"/>
        <v>California</v>
      </c>
      <c r="G69" s="19" t="str">
        <f t="shared" si="2"/>
        <v>Lake County</v>
      </c>
      <c r="H69" s="19">
        <f t="shared" si="3"/>
        <v>30</v>
      </c>
      <c r="J69" s="22" t="s">
        <v>19</v>
      </c>
      <c r="K69" s="23" t="s">
        <v>949</v>
      </c>
      <c r="L69" s="23"/>
      <c r="M69" s="23">
        <v>2223.9</v>
      </c>
    </row>
    <row r="70" spans="1:13" x14ac:dyDescent="0.3">
      <c r="A70" t="s">
        <v>19</v>
      </c>
      <c r="B70" t="s">
        <v>1426</v>
      </c>
      <c r="C70" s="26">
        <v>1</v>
      </c>
      <c r="D70" s="26">
        <v>26.2</v>
      </c>
      <c r="F70" s="19" t="str">
        <f t="shared" si="1"/>
        <v>California</v>
      </c>
      <c r="G70" s="19" t="str">
        <f t="shared" si="2"/>
        <v>Lassen County</v>
      </c>
      <c r="H70" s="19">
        <f t="shared" si="3"/>
        <v>1</v>
      </c>
      <c r="J70" s="22" t="s">
        <v>19</v>
      </c>
      <c r="K70" s="23" t="s">
        <v>1426</v>
      </c>
      <c r="L70" s="23"/>
      <c r="M70" s="23">
        <v>26.2</v>
      </c>
    </row>
    <row r="71" spans="1:13" x14ac:dyDescent="0.3">
      <c r="A71" t="s">
        <v>19</v>
      </c>
      <c r="B71" t="s">
        <v>33</v>
      </c>
      <c r="C71" s="26">
        <v>3991</v>
      </c>
      <c r="D71" s="26">
        <v>215551.19999999981</v>
      </c>
      <c r="F71" s="19" t="str">
        <f t="shared" si="1"/>
        <v>California</v>
      </c>
      <c r="G71" s="19" t="str">
        <f t="shared" si="2"/>
        <v>Los Angeles County</v>
      </c>
      <c r="H71" s="19">
        <f t="shared" si="3"/>
        <v>3991</v>
      </c>
      <c r="J71" s="22" t="s">
        <v>19</v>
      </c>
      <c r="K71" s="23" t="s">
        <v>33</v>
      </c>
      <c r="L71" s="23"/>
      <c r="M71" s="23">
        <v>215551.19999999981</v>
      </c>
    </row>
    <row r="72" spans="1:13" x14ac:dyDescent="0.3">
      <c r="A72" t="s">
        <v>19</v>
      </c>
      <c r="B72" t="s">
        <v>364</v>
      </c>
      <c r="C72" s="26">
        <v>45</v>
      </c>
      <c r="D72" s="26">
        <v>2687.3999999999996</v>
      </c>
      <c r="F72" s="19" t="str">
        <f t="shared" si="1"/>
        <v>California</v>
      </c>
      <c r="G72" s="19" t="str">
        <f t="shared" si="2"/>
        <v>Madera County</v>
      </c>
      <c r="H72" s="19">
        <f t="shared" si="3"/>
        <v>45</v>
      </c>
      <c r="J72" s="22" t="s">
        <v>19</v>
      </c>
      <c r="K72" s="23" t="s">
        <v>364</v>
      </c>
      <c r="L72" s="23"/>
      <c r="M72" s="23">
        <v>2687.3999999999996</v>
      </c>
    </row>
    <row r="73" spans="1:13" x14ac:dyDescent="0.3">
      <c r="A73" t="s">
        <v>19</v>
      </c>
      <c r="B73" t="s">
        <v>545</v>
      </c>
      <c r="C73" s="26">
        <v>39</v>
      </c>
      <c r="D73" s="26">
        <v>1463.3000000000002</v>
      </c>
      <c r="F73" s="19" t="str">
        <f t="shared" si="1"/>
        <v>California</v>
      </c>
      <c r="G73" s="19" t="str">
        <f t="shared" si="2"/>
        <v>Marin County</v>
      </c>
      <c r="H73" s="19">
        <f t="shared" si="3"/>
        <v>39</v>
      </c>
      <c r="J73" s="22" t="s">
        <v>19</v>
      </c>
      <c r="K73" s="23" t="s">
        <v>545</v>
      </c>
      <c r="L73" s="23"/>
      <c r="M73" s="23">
        <v>1463.3000000000002</v>
      </c>
    </row>
    <row r="74" spans="1:13" x14ac:dyDescent="0.3">
      <c r="A74" t="s">
        <v>19</v>
      </c>
      <c r="B74" t="s">
        <v>416</v>
      </c>
      <c r="C74" s="26">
        <v>6</v>
      </c>
      <c r="D74" s="26">
        <v>445.79999999999995</v>
      </c>
      <c r="F74" s="19" t="str">
        <f t="shared" si="1"/>
        <v>California</v>
      </c>
      <c r="G74" s="19" t="str">
        <f t="shared" si="2"/>
        <v>Mariposa County</v>
      </c>
      <c r="H74" s="19">
        <f t="shared" si="3"/>
        <v>6</v>
      </c>
      <c r="J74" s="22" t="s">
        <v>19</v>
      </c>
      <c r="K74" s="23" t="s">
        <v>416</v>
      </c>
      <c r="L74" s="23"/>
      <c r="M74" s="23">
        <v>445.79999999999995</v>
      </c>
    </row>
    <row r="75" spans="1:13" x14ac:dyDescent="0.3">
      <c r="A75" t="s">
        <v>19</v>
      </c>
      <c r="B75" t="s">
        <v>258</v>
      </c>
      <c r="C75" s="26">
        <v>9</v>
      </c>
      <c r="D75" s="26">
        <v>273.59999999999997</v>
      </c>
      <c r="F75" s="19" t="str">
        <f t="shared" si="1"/>
        <v>California</v>
      </c>
      <c r="G75" s="19" t="str">
        <f t="shared" si="2"/>
        <v>Mendocino County</v>
      </c>
      <c r="H75" s="19">
        <f t="shared" si="3"/>
        <v>9</v>
      </c>
      <c r="J75" s="22" t="s">
        <v>19</v>
      </c>
      <c r="K75" s="23" t="s">
        <v>258</v>
      </c>
      <c r="L75" s="23"/>
      <c r="M75" s="23">
        <v>273.59999999999997</v>
      </c>
    </row>
    <row r="76" spans="1:13" x14ac:dyDescent="0.3">
      <c r="A76" t="s">
        <v>19</v>
      </c>
      <c r="B76" t="s">
        <v>186</v>
      </c>
      <c r="C76" s="26">
        <v>60</v>
      </c>
      <c r="D76" s="26">
        <v>2690.4</v>
      </c>
      <c r="F76" s="19" t="str">
        <f t="shared" si="1"/>
        <v>California</v>
      </c>
      <c r="G76" s="19" t="str">
        <f t="shared" si="2"/>
        <v>Merced County</v>
      </c>
      <c r="H76" s="19">
        <f t="shared" si="3"/>
        <v>60</v>
      </c>
      <c r="J76" s="22" t="s">
        <v>19</v>
      </c>
      <c r="K76" s="23" t="s">
        <v>186</v>
      </c>
      <c r="L76" s="23"/>
      <c r="M76" s="23">
        <v>2690.4</v>
      </c>
    </row>
    <row r="77" spans="1:13" x14ac:dyDescent="0.3">
      <c r="A77" t="s">
        <v>19</v>
      </c>
      <c r="B77" t="s">
        <v>392</v>
      </c>
      <c r="C77" s="26">
        <v>2</v>
      </c>
      <c r="D77" s="26">
        <v>28.4</v>
      </c>
      <c r="F77" s="19" t="str">
        <f t="shared" si="1"/>
        <v>California</v>
      </c>
      <c r="G77" s="19" t="str">
        <f t="shared" si="2"/>
        <v>Modoc County</v>
      </c>
      <c r="H77" s="19">
        <f t="shared" si="3"/>
        <v>2</v>
      </c>
      <c r="J77" s="22" t="s">
        <v>19</v>
      </c>
      <c r="K77" s="23" t="s">
        <v>392</v>
      </c>
      <c r="L77" s="23"/>
      <c r="M77" s="23">
        <v>28.4</v>
      </c>
    </row>
    <row r="78" spans="1:13" x14ac:dyDescent="0.3">
      <c r="A78" t="s">
        <v>19</v>
      </c>
      <c r="B78" t="s">
        <v>670</v>
      </c>
      <c r="C78" s="26">
        <v>4</v>
      </c>
      <c r="D78" s="26">
        <v>204.8</v>
      </c>
      <c r="F78" s="19" t="str">
        <f t="shared" si="1"/>
        <v>California</v>
      </c>
      <c r="G78" s="19" t="str">
        <f t="shared" si="2"/>
        <v>Mono County</v>
      </c>
      <c r="H78" s="19">
        <f t="shared" si="3"/>
        <v>4</v>
      </c>
      <c r="J78" s="22" t="s">
        <v>19</v>
      </c>
      <c r="K78" s="23" t="s">
        <v>670</v>
      </c>
      <c r="L78" s="23"/>
      <c r="M78" s="23">
        <v>204.8</v>
      </c>
    </row>
    <row r="79" spans="1:13" x14ac:dyDescent="0.3">
      <c r="A79" t="s">
        <v>19</v>
      </c>
      <c r="B79" t="s">
        <v>802</v>
      </c>
      <c r="C79" s="26">
        <v>31</v>
      </c>
      <c r="D79" s="26">
        <v>1607.8999999999999</v>
      </c>
      <c r="F79" s="19" t="str">
        <f t="shared" si="1"/>
        <v>California</v>
      </c>
      <c r="G79" s="19" t="str">
        <f t="shared" si="2"/>
        <v>Monterey County</v>
      </c>
      <c r="H79" s="19">
        <f t="shared" si="3"/>
        <v>31</v>
      </c>
      <c r="J79" s="22" t="s">
        <v>19</v>
      </c>
      <c r="K79" s="23" t="s">
        <v>802</v>
      </c>
      <c r="L79" s="23"/>
      <c r="M79" s="23">
        <v>1607.8999999999999</v>
      </c>
    </row>
    <row r="80" spans="1:13" x14ac:dyDescent="0.3">
      <c r="A80" t="s">
        <v>19</v>
      </c>
      <c r="B80" t="s">
        <v>98</v>
      </c>
      <c r="C80" s="26">
        <v>88</v>
      </c>
      <c r="D80" s="26">
        <v>6444.9</v>
      </c>
      <c r="F80" s="19" t="str">
        <f t="shared" si="1"/>
        <v>California</v>
      </c>
      <c r="G80" s="19" t="str">
        <f t="shared" si="2"/>
        <v>Napa County</v>
      </c>
      <c r="H80" s="19">
        <f t="shared" si="3"/>
        <v>88</v>
      </c>
      <c r="J80" s="22" t="s">
        <v>19</v>
      </c>
      <c r="K80" s="23" t="s">
        <v>98</v>
      </c>
      <c r="L80" s="23"/>
      <c r="M80" s="23">
        <v>6444.9</v>
      </c>
    </row>
    <row r="81" spans="1:13" x14ac:dyDescent="0.3">
      <c r="A81" t="s">
        <v>19</v>
      </c>
      <c r="B81" t="s">
        <v>49</v>
      </c>
      <c r="C81" s="26">
        <v>25</v>
      </c>
      <c r="D81" s="26">
        <v>1809.3</v>
      </c>
      <c r="F81" s="19" t="str">
        <f t="shared" si="1"/>
        <v>California</v>
      </c>
      <c r="G81" s="19" t="str">
        <f t="shared" si="2"/>
        <v>Nevada County</v>
      </c>
      <c r="H81" s="19">
        <f t="shared" si="3"/>
        <v>25</v>
      </c>
      <c r="J81" s="22" t="s">
        <v>19</v>
      </c>
      <c r="K81" s="23" t="s">
        <v>49</v>
      </c>
      <c r="L81" s="23"/>
      <c r="M81" s="23">
        <v>1809.3</v>
      </c>
    </row>
    <row r="82" spans="1:13" x14ac:dyDescent="0.3">
      <c r="A82" t="s">
        <v>19</v>
      </c>
      <c r="B82" t="s">
        <v>188</v>
      </c>
      <c r="C82" s="26">
        <v>178</v>
      </c>
      <c r="D82" s="26">
        <v>9680.399999999996</v>
      </c>
      <c r="F82" s="19" t="str">
        <f t="shared" si="1"/>
        <v>California</v>
      </c>
      <c r="G82" s="19" t="str">
        <f t="shared" si="2"/>
        <v>Orange County</v>
      </c>
      <c r="H82" s="19">
        <f t="shared" si="3"/>
        <v>178</v>
      </c>
      <c r="J82" s="22" t="s">
        <v>19</v>
      </c>
      <c r="K82" s="23" t="s">
        <v>188</v>
      </c>
      <c r="L82" s="23"/>
      <c r="M82" s="23">
        <v>9680.399999999996</v>
      </c>
    </row>
    <row r="83" spans="1:13" x14ac:dyDescent="0.3">
      <c r="A83" t="s">
        <v>19</v>
      </c>
      <c r="B83" t="s">
        <v>52</v>
      </c>
      <c r="C83" s="26">
        <v>141</v>
      </c>
      <c r="D83" s="26">
        <v>9414.7999999999993</v>
      </c>
      <c r="F83" s="19" t="str">
        <f t="shared" si="1"/>
        <v>California</v>
      </c>
      <c r="G83" s="19" t="str">
        <f t="shared" si="2"/>
        <v>Placer County</v>
      </c>
      <c r="H83" s="19">
        <f t="shared" si="3"/>
        <v>141</v>
      </c>
      <c r="J83" s="22" t="s">
        <v>19</v>
      </c>
      <c r="K83" s="23" t="s">
        <v>52</v>
      </c>
      <c r="L83" s="23"/>
      <c r="M83" s="23">
        <v>9414.7999999999993</v>
      </c>
    </row>
    <row r="84" spans="1:13" x14ac:dyDescent="0.3">
      <c r="A84" t="s">
        <v>19</v>
      </c>
      <c r="B84" t="s">
        <v>338</v>
      </c>
      <c r="C84" s="26">
        <v>6</v>
      </c>
      <c r="D84" s="26">
        <v>206.1</v>
      </c>
      <c r="F84" s="19" t="str">
        <f t="shared" si="1"/>
        <v>California</v>
      </c>
      <c r="G84" s="19" t="str">
        <f t="shared" si="2"/>
        <v>Plumas County</v>
      </c>
      <c r="H84" s="19">
        <f t="shared" si="3"/>
        <v>6</v>
      </c>
      <c r="J84" s="22" t="s">
        <v>19</v>
      </c>
      <c r="K84" s="23" t="s">
        <v>338</v>
      </c>
      <c r="L84" s="23"/>
      <c r="M84" s="23">
        <v>206.1</v>
      </c>
    </row>
    <row r="85" spans="1:13" x14ac:dyDescent="0.3">
      <c r="A85" t="s">
        <v>19</v>
      </c>
      <c r="B85" t="s">
        <v>158</v>
      </c>
      <c r="C85" s="26">
        <v>178</v>
      </c>
      <c r="D85" s="26">
        <v>7691.3</v>
      </c>
      <c r="F85" s="19" t="str">
        <f t="shared" si="1"/>
        <v>California</v>
      </c>
      <c r="G85" s="19" t="str">
        <f t="shared" si="2"/>
        <v>Riverside County</v>
      </c>
      <c r="H85" s="19">
        <f t="shared" si="3"/>
        <v>178</v>
      </c>
      <c r="J85" s="22" t="s">
        <v>19</v>
      </c>
      <c r="K85" s="23" t="s">
        <v>158</v>
      </c>
      <c r="L85" s="23"/>
      <c r="M85" s="23">
        <v>7691.3</v>
      </c>
    </row>
    <row r="86" spans="1:13" x14ac:dyDescent="0.3">
      <c r="A86" t="s">
        <v>19</v>
      </c>
      <c r="B86" t="s">
        <v>55</v>
      </c>
      <c r="C86" s="26">
        <v>699</v>
      </c>
      <c r="D86" s="26">
        <v>37784.900000000016</v>
      </c>
      <c r="F86" s="19" t="str">
        <f t="shared" si="1"/>
        <v>California</v>
      </c>
      <c r="G86" s="19" t="str">
        <f t="shared" si="2"/>
        <v>Sacramento County</v>
      </c>
      <c r="H86" s="19">
        <f t="shared" si="3"/>
        <v>699</v>
      </c>
      <c r="J86" s="22" t="s">
        <v>19</v>
      </c>
      <c r="K86" s="23" t="s">
        <v>55</v>
      </c>
      <c r="L86" s="23"/>
      <c r="M86" s="23">
        <v>37784.900000000016</v>
      </c>
    </row>
    <row r="87" spans="1:13" x14ac:dyDescent="0.3">
      <c r="A87" t="s">
        <v>19</v>
      </c>
      <c r="B87" t="s">
        <v>342</v>
      </c>
      <c r="C87" s="26">
        <v>23</v>
      </c>
      <c r="D87" s="26">
        <v>1129.7</v>
      </c>
      <c r="F87" s="19" t="str">
        <f t="shared" si="1"/>
        <v>California</v>
      </c>
      <c r="G87" s="19" t="str">
        <f t="shared" si="2"/>
        <v>San Benito County</v>
      </c>
      <c r="H87" s="19">
        <f t="shared" si="3"/>
        <v>23</v>
      </c>
      <c r="J87" s="22" t="s">
        <v>19</v>
      </c>
      <c r="K87" s="23" t="s">
        <v>342</v>
      </c>
      <c r="L87" s="23"/>
      <c r="M87" s="23">
        <v>1129.7</v>
      </c>
    </row>
    <row r="88" spans="1:13" x14ac:dyDescent="0.3">
      <c r="A88" t="s">
        <v>19</v>
      </c>
      <c r="B88" t="s">
        <v>59</v>
      </c>
      <c r="C88" s="26">
        <v>356</v>
      </c>
      <c r="D88" s="26">
        <v>20988.9</v>
      </c>
      <c r="F88" s="19" t="str">
        <f t="shared" si="1"/>
        <v>California</v>
      </c>
      <c r="G88" s="19" t="str">
        <f t="shared" si="2"/>
        <v>San Bernardino County</v>
      </c>
      <c r="H88" s="19">
        <f t="shared" si="3"/>
        <v>356</v>
      </c>
      <c r="J88" s="22" t="s">
        <v>19</v>
      </c>
      <c r="K88" s="23" t="s">
        <v>59</v>
      </c>
      <c r="L88" s="23"/>
      <c r="M88" s="23">
        <v>20988.9</v>
      </c>
    </row>
    <row r="89" spans="1:13" x14ac:dyDescent="0.3">
      <c r="A89" t="s">
        <v>19</v>
      </c>
      <c r="B89" t="s">
        <v>62</v>
      </c>
      <c r="C89" s="26">
        <v>1768</v>
      </c>
      <c r="D89" s="26">
        <v>98367.099999999977</v>
      </c>
      <c r="F89" s="19" t="str">
        <f t="shared" si="1"/>
        <v>California</v>
      </c>
      <c r="G89" s="19" t="str">
        <f t="shared" si="2"/>
        <v>San Diego County</v>
      </c>
      <c r="H89" s="19">
        <f t="shared" si="3"/>
        <v>1768</v>
      </c>
      <c r="J89" s="22" t="s">
        <v>19</v>
      </c>
      <c r="K89" s="23" t="s">
        <v>62</v>
      </c>
      <c r="L89" s="23"/>
      <c r="M89" s="23">
        <v>98367.099999999977</v>
      </c>
    </row>
    <row r="90" spans="1:13" x14ac:dyDescent="0.3">
      <c r="A90" t="s">
        <v>19</v>
      </c>
      <c r="B90" t="s">
        <v>103</v>
      </c>
      <c r="C90" s="26">
        <v>307</v>
      </c>
      <c r="D90" s="26">
        <v>21911.9</v>
      </c>
      <c r="F90" s="19" t="str">
        <f t="shared" si="1"/>
        <v>California</v>
      </c>
      <c r="G90" s="19" t="str">
        <f t="shared" si="2"/>
        <v>San Francisco</v>
      </c>
      <c r="H90" s="19">
        <f t="shared" si="3"/>
        <v>307</v>
      </c>
      <c r="J90" s="22" t="s">
        <v>19</v>
      </c>
      <c r="K90" s="23" t="s">
        <v>103</v>
      </c>
      <c r="L90" s="23"/>
      <c r="M90" s="23">
        <v>21911.9</v>
      </c>
    </row>
    <row r="91" spans="1:13" x14ac:dyDescent="0.3">
      <c r="A91" t="s">
        <v>19</v>
      </c>
      <c r="B91" t="s">
        <v>201</v>
      </c>
      <c r="C91" s="26">
        <v>117</v>
      </c>
      <c r="D91" s="26">
        <v>5441.2</v>
      </c>
      <c r="F91" s="19" t="str">
        <f t="shared" si="1"/>
        <v>California</v>
      </c>
      <c r="G91" s="19" t="str">
        <f t="shared" si="2"/>
        <v>San Joaquin County</v>
      </c>
      <c r="H91" s="19">
        <f t="shared" si="3"/>
        <v>117</v>
      </c>
      <c r="J91" s="22" t="s">
        <v>19</v>
      </c>
      <c r="K91" s="23" t="s">
        <v>201</v>
      </c>
      <c r="L91" s="23"/>
      <c r="M91" s="23">
        <v>5441.2</v>
      </c>
    </row>
    <row r="92" spans="1:13" x14ac:dyDescent="0.3">
      <c r="A92" t="s">
        <v>19</v>
      </c>
      <c r="B92" t="s">
        <v>429</v>
      </c>
      <c r="C92" s="26">
        <v>13</v>
      </c>
      <c r="D92" s="26">
        <v>392.8</v>
      </c>
      <c r="F92" s="19" t="str">
        <f t="shared" si="1"/>
        <v>California</v>
      </c>
      <c r="G92" s="19" t="str">
        <f t="shared" si="2"/>
        <v>San Luis Obispo County</v>
      </c>
      <c r="H92" s="19">
        <f t="shared" si="3"/>
        <v>13</v>
      </c>
      <c r="J92" s="22" t="s">
        <v>19</v>
      </c>
      <c r="K92" s="23" t="s">
        <v>429</v>
      </c>
      <c r="L92" s="23"/>
      <c r="M92" s="23">
        <v>392.8</v>
      </c>
    </row>
    <row r="93" spans="1:13" x14ac:dyDescent="0.3">
      <c r="A93" t="s">
        <v>19</v>
      </c>
      <c r="B93" t="s">
        <v>72</v>
      </c>
      <c r="C93" s="26">
        <v>364</v>
      </c>
      <c r="D93" s="26">
        <v>16172.000000000005</v>
      </c>
      <c r="F93" s="19" t="str">
        <f t="shared" si="1"/>
        <v>California</v>
      </c>
      <c r="G93" s="19" t="str">
        <f t="shared" si="2"/>
        <v>San Mateo County</v>
      </c>
      <c r="H93" s="19">
        <f t="shared" si="3"/>
        <v>364</v>
      </c>
      <c r="J93" s="22" t="s">
        <v>19</v>
      </c>
      <c r="K93" s="23" t="s">
        <v>72</v>
      </c>
      <c r="L93" s="23"/>
      <c r="M93" s="23">
        <v>16172.000000000005</v>
      </c>
    </row>
    <row r="94" spans="1:13" x14ac:dyDescent="0.3">
      <c r="A94" t="s">
        <v>19</v>
      </c>
      <c r="B94" t="s">
        <v>74</v>
      </c>
      <c r="C94" s="26">
        <v>95</v>
      </c>
      <c r="D94" s="26">
        <v>4334.9999999999991</v>
      </c>
      <c r="F94" s="19" t="str">
        <f t="shared" si="1"/>
        <v>California</v>
      </c>
      <c r="G94" s="19" t="str">
        <f t="shared" si="2"/>
        <v>Santa Barbara County</v>
      </c>
      <c r="H94" s="19">
        <f t="shared" si="3"/>
        <v>95</v>
      </c>
      <c r="J94" s="22" t="s">
        <v>19</v>
      </c>
      <c r="K94" s="23" t="s">
        <v>74</v>
      </c>
      <c r="L94" s="23"/>
      <c r="M94" s="23">
        <v>4334.9999999999991</v>
      </c>
    </row>
    <row r="95" spans="1:13" x14ac:dyDescent="0.3">
      <c r="A95" t="s">
        <v>19</v>
      </c>
      <c r="B95" t="s">
        <v>77</v>
      </c>
      <c r="C95" s="26">
        <v>737</v>
      </c>
      <c r="D95" s="26">
        <v>37449.000000000007</v>
      </c>
      <c r="F95" s="19" t="str">
        <f t="shared" si="1"/>
        <v>California</v>
      </c>
      <c r="G95" s="19" t="str">
        <f t="shared" si="2"/>
        <v>Santa Clara County</v>
      </c>
      <c r="H95" s="19">
        <f t="shared" si="3"/>
        <v>737</v>
      </c>
      <c r="J95" s="22" t="s">
        <v>19</v>
      </c>
      <c r="K95" s="23" t="s">
        <v>77</v>
      </c>
      <c r="L95" s="23"/>
      <c r="M95" s="23">
        <v>37449.000000000007</v>
      </c>
    </row>
    <row r="96" spans="1:13" x14ac:dyDescent="0.3">
      <c r="A96" t="s">
        <v>19</v>
      </c>
      <c r="B96" t="s">
        <v>309</v>
      </c>
      <c r="C96" s="26">
        <v>39</v>
      </c>
      <c r="D96" s="26">
        <v>2447.5</v>
      </c>
      <c r="F96" s="19" t="str">
        <f t="shared" si="1"/>
        <v>California</v>
      </c>
      <c r="G96" s="19" t="str">
        <f t="shared" si="2"/>
        <v>Santa Cruz County</v>
      </c>
      <c r="H96" s="19">
        <f t="shared" si="3"/>
        <v>39</v>
      </c>
      <c r="J96" s="22" t="s">
        <v>19</v>
      </c>
      <c r="K96" s="23" t="s">
        <v>309</v>
      </c>
      <c r="L96" s="23"/>
      <c r="M96" s="23">
        <v>2447.5</v>
      </c>
    </row>
    <row r="97" spans="1:13" x14ac:dyDescent="0.3">
      <c r="A97" t="s">
        <v>19</v>
      </c>
      <c r="B97" t="s">
        <v>1116</v>
      </c>
      <c r="C97" s="26">
        <v>56</v>
      </c>
      <c r="D97" s="26">
        <v>3391.1</v>
      </c>
      <c r="F97" s="19" t="str">
        <f t="shared" si="1"/>
        <v>California</v>
      </c>
      <c r="G97" s="19" t="str">
        <f t="shared" si="2"/>
        <v>Shasta County</v>
      </c>
      <c r="H97" s="19">
        <f t="shared" si="3"/>
        <v>56</v>
      </c>
      <c r="J97" s="22" t="s">
        <v>19</v>
      </c>
      <c r="K97" s="23" t="s">
        <v>1116</v>
      </c>
      <c r="L97" s="23"/>
      <c r="M97" s="23">
        <v>3391.1</v>
      </c>
    </row>
    <row r="98" spans="1:13" x14ac:dyDescent="0.3">
      <c r="A98" t="s">
        <v>19</v>
      </c>
      <c r="B98" t="s">
        <v>700</v>
      </c>
      <c r="C98" s="26">
        <v>2</v>
      </c>
      <c r="D98" s="26">
        <v>30.8</v>
      </c>
      <c r="F98" s="19" t="str">
        <f t="shared" si="1"/>
        <v>California</v>
      </c>
      <c r="G98" s="19" t="str">
        <f t="shared" si="2"/>
        <v>Sierra County</v>
      </c>
      <c r="H98" s="19">
        <f t="shared" si="3"/>
        <v>2</v>
      </c>
      <c r="J98" s="22" t="s">
        <v>19</v>
      </c>
      <c r="K98" s="23" t="s">
        <v>700</v>
      </c>
      <c r="L98" s="23"/>
      <c r="M98" s="23">
        <v>30.8</v>
      </c>
    </row>
    <row r="99" spans="1:13" x14ac:dyDescent="0.3">
      <c r="A99" t="s">
        <v>19</v>
      </c>
      <c r="B99" t="s">
        <v>268</v>
      </c>
      <c r="C99" s="26">
        <v>8</v>
      </c>
      <c r="D99" s="26">
        <v>332.3</v>
      </c>
      <c r="F99" s="19" t="str">
        <f t="shared" si="1"/>
        <v>California</v>
      </c>
      <c r="G99" s="19" t="str">
        <f t="shared" si="2"/>
        <v>Siskiyou County</v>
      </c>
      <c r="H99" s="19">
        <f t="shared" si="3"/>
        <v>8</v>
      </c>
      <c r="J99" s="22" t="s">
        <v>19</v>
      </c>
      <c r="K99" s="23" t="s">
        <v>268</v>
      </c>
      <c r="L99" s="23"/>
      <c r="M99" s="23">
        <v>332.3</v>
      </c>
    </row>
    <row r="100" spans="1:13" x14ac:dyDescent="0.3">
      <c r="A100" t="s">
        <v>19</v>
      </c>
      <c r="B100" t="s">
        <v>377</v>
      </c>
      <c r="C100" s="26">
        <v>52</v>
      </c>
      <c r="D100" s="26">
        <v>3175.9999999999995</v>
      </c>
      <c r="F100" s="19" t="str">
        <f t="shared" si="1"/>
        <v>California</v>
      </c>
      <c r="G100" s="19" t="str">
        <f t="shared" si="2"/>
        <v>Solano County</v>
      </c>
      <c r="H100" s="19">
        <f t="shared" si="3"/>
        <v>52</v>
      </c>
      <c r="J100" s="22" t="s">
        <v>19</v>
      </c>
      <c r="K100" s="23" t="s">
        <v>377</v>
      </c>
      <c r="L100" s="23"/>
      <c r="M100" s="23">
        <v>3175.9999999999995</v>
      </c>
    </row>
    <row r="101" spans="1:13" x14ac:dyDescent="0.3">
      <c r="A101" t="s">
        <v>19</v>
      </c>
      <c r="B101" t="s">
        <v>108</v>
      </c>
      <c r="C101" s="26">
        <v>295</v>
      </c>
      <c r="D101" s="26">
        <v>20939.600000000002</v>
      </c>
      <c r="F101" s="19" t="str">
        <f t="shared" si="1"/>
        <v>California</v>
      </c>
      <c r="G101" s="19" t="str">
        <f t="shared" si="2"/>
        <v>Sonoma County</v>
      </c>
      <c r="H101" s="19">
        <f t="shared" si="3"/>
        <v>295</v>
      </c>
      <c r="J101" s="22" t="s">
        <v>19</v>
      </c>
      <c r="K101" s="23" t="s">
        <v>108</v>
      </c>
      <c r="L101" s="23"/>
      <c r="M101" s="23">
        <v>20939.600000000002</v>
      </c>
    </row>
    <row r="102" spans="1:13" x14ac:dyDescent="0.3">
      <c r="A102" t="s">
        <v>19</v>
      </c>
      <c r="B102" t="s">
        <v>110</v>
      </c>
      <c r="C102" s="26">
        <v>195</v>
      </c>
      <c r="D102" s="26">
        <v>10185.899999999996</v>
      </c>
      <c r="F102" s="19" t="str">
        <f t="shared" si="1"/>
        <v>California</v>
      </c>
      <c r="G102" s="19" t="str">
        <f t="shared" si="2"/>
        <v>Stanislaus County</v>
      </c>
      <c r="H102" s="19">
        <f t="shared" si="3"/>
        <v>195</v>
      </c>
      <c r="J102" s="22" t="s">
        <v>19</v>
      </c>
      <c r="K102" s="23" t="s">
        <v>110</v>
      </c>
      <c r="L102" s="23"/>
      <c r="M102" s="23">
        <v>10185.899999999996</v>
      </c>
    </row>
    <row r="103" spans="1:13" x14ac:dyDescent="0.3">
      <c r="A103" t="s">
        <v>19</v>
      </c>
      <c r="B103" t="s">
        <v>292</v>
      </c>
      <c r="C103" s="26">
        <v>20</v>
      </c>
      <c r="D103" s="26">
        <v>958.7</v>
      </c>
      <c r="F103" s="19" t="str">
        <f t="shared" si="1"/>
        <v>California</v>
      </c>
      <c r="G103" s="19" t="str">
        <f t="shared" si="2"/>
        <v>Sutter County</v>
      </c>
      <c r="H103" s="19">
        <f t="shared" si="3"/>
        <v>20</v>
      </c>
      <c r="J103" s="22" t="s">
        <v>19</v>
      </c>
      <c r="K103" s="23" t="s">
        <v>292</v>
      </c>
      <c r="L103" s="23"/>
      <c r="M103" s="23">
        <v>958.7</v>
      </c>
    </row>
    <row r="104" spans="1:13" x14ac:dyDescent="0.3">
      <c r="A104" t="s">
        <v>19</v>
      </c>
      <c r="B104" t="s">
        <v>79</v>
      </c>
      <c r="C104" s="26">
        <v>6</v>
      </c>
      <c r="D104" s="26">
        <v>323</v>
      </c>
      <c r="F104" s="19" t="str">
        <f t="shared" si="1"/>
        <v>California</v>
      </c>
      <c r="G104" s="19" t="str">
        <f t="shared" si="2"/>
        <v>Tehama County</v>
      </c>
      <c r="H104" s="19">
        <f t="shared" si="3"/>
        <v>6</v>
      </c>
      <c r="J104" s="22" t="s">
        <v>19</v>
      </c>
      <c r="K104" s="23" t="s">
        <v>79</v>
      </c>
      <c r="L104" s="23"/>
      <c r="M104" s="23">
        <v>323</v>
      </c>
    </row>
    <row r="105" spans="1:13" x14ac:dyDescent="0.3">
      <c r="A105" t="s">
        <v>19</v>
      </c>
      <c r="B105" t="s">
        <v>608</v>
      </c>
      <c r="C105" s="26">
        <v>5</v>
      </c>
      <c r="D105" s="26">
        <v>167.70000000000002</v>
      </c>
      <c r="F105" s="19" t="str">
        <f t="shared" si="1"/>
        <v>California</v>
      </c>
      <c r="G105" s="19" t="str">
        <f t="shared" si="2"/>
        <v>Trinity County</v>
      </c>
      <c r="H105" s="19">
        <f t="shared" si="3"/>
        <v>5</v>
      </c>
      <c r="J105" s="22" t="s">
        <v>19</v>
      </c>
      <c r="K105" s="23" t="s">
        <v>608</v>
      </c>
      <c r="L105" s="23"/>
      <c r="M105" s="23">
        <v>167.70000000000002</v>
      </c>
    </row>
    <row r="106" spans="1:13" x14ac:dyDescent="0.3">
      <c r="A106" t="s">
        <v>19</v>
      </c>
      <c r="B106" t="s">
        <v>113</v>
      </c>
      <c r="C106" s="26">
        <v>94</v>
      </c>
      <c r="D106" s="26">
        <v>3978.5</v>
      </c>
      <c r="F106" s="19" t="str">
        <f t="shared" si="1"/>
        <v>California</v>
      </c>
      <c r="G106" s="19" t="str">
        <f t="shared" si="2"/>
        <v>Tulare County</v>
      </c>
      <c r="H106" s="19">
        <f t="shared" si="3"/>
        <v>94</v>
      </c>
      <c r="J106" s="22" t="s">
        <v>19</v>
      </c>
      <c r="K106" s="23" t="s">
        <v>113</v>
      </c>
      <c r="L106" s="23"/>
      <c r="M106" s="23">
        <v>3978.5</v>
      </c>
    </row>
    <row r="107" spans="1:13" x14ac:dyDescent="0.3">
      <c r="A107" t="s">
        <v>19</v>
      </c>
      <c r="B107" t="s">
        <v>997</v>
      </c>
      <c r="C107" s="26">
        <v>28</v>
      </c>
      <c r="D107" s="26">
        <v>1405</v>
      </c>
      <c r="F107" s="19" t="str">
        <f t="shared" si="1"/>
        <v>California</v>
      </c>
      <c r="G107" s="19" t="str">
        <f t="shared" si="2"/>
        <v>Tuolumne County</v>
      </c>
      <c r="H107" s="19">
        <f t="shared" si="3"/>
        <v>28</v>
      </c>
      <c r="J107" s="22" t="s">
        <v>19</v>
      </c>
      <c r="K107" s="23" t="s">
        <v>997</v>
      </c>
      <c r="L107" s="23"/>
      <c r="M107" s="23">
        <v>1405</v>
      </c>
    </row>
    <row r="108" spans="1:13" x14ac:dyDescent="0.3">
      <c r="A108" t="s">
        <v>19</v>
      </c>
      <c r="B108" t="s">
        <v>82</v>
      </c>
      <c r="C108" s="26">
        <v>179</v>
      </c>
      <c r="D108" s="26">
        <v>9869.0999999999985</v>
      </c>
      <c r="F108" s="19" t="str">
        <f t="shared" si="1"/>
        <v>California</v>
      </c>
      <c r="G108" s="19" t="str">
        <f t="shared" si="2"/>
        <v>Ventura County</v>
      </c>
      <c r="H108" s="19">
        <f t="shared" si="3"/>
        <v>179</v>
      </c>
      <c r="J108" s="22" t="s">
        <v>19</v>
      </c>
      <c r="K108" s="23" t="s">
        <v>82</v>
      </c>
      <c r="L108" s="23"/>
      <c r="M108" s="23">
        <v>9869.0999999999985</v>
      </c>
    </row>
    <row r="109" spans="1:13" x14ac:dyDescent="0.3">
      <c r="A109" t="s">
        <v>19</v>
      </c>
      <c r="B109" t="s">
        <v>243</v>
      </c>
      <c r="C109" s="26">
        <v>15</v>
      </c>
      <c r="D109" s="26">
        <v>615.29999999999995</v>
      </c>
      <c r="F109" s="19" t="str">
        <f t="shared" si="1"/>
        <v>California</v>
      </c>
      <c r="G109" s="19" t="str">
        <f t="shared" si="2"/>
        <v>Yolo County</v>
      </c>
      <c r="H109" s="19">
        <f t="shared" si="3"/>
        <v>15</v>
      </c>
      <c r="J109" s="22" t="s">
        <v>19</v>
      </c>
      <c r="K109" s="23" t="s">
        <v>243</v>
      </c>
      <c r="L109" s="23"/>
      <c r="M109" s="23">
        <v>615.29999999999995</v>
      </c>
    </row>
    <row r="110" spans="1:13" x14ac:dyDescent="0.3">
      <c r="A110" t="s">
        <v>19</v>
      </c>
      <c r="B110" t="s">
        <v>1911</v>
      </c>
      <c r="C110" s="26">
        <v>3</v>
      </c>
      <c r="D110" s="26">
        <v>285</v>
      </c>
      <c r="F110" s="19" t="str">
        <f t="shared" si="1"/>
        <v>California</v>
      </c>
      <c r="G110" s="19" t="str">
        <f t="shared" si="2"/>
        <v>Yuba County</v>
      </c>
      <c r="H110" s="19">
        <f t="shared" si="3"/>
        <v>3</v>
      </c>
      <c r="J110" s="24" t="s">
        <v>19</v>
      </c>
      <c r="K110" s="23" t="s">
        <v>1911</v>
      </c>
      <c r="L110" s="23"/>
      <c r="M110" s="23">
        <v>285</v>
      </c>
    </row>
    <row r="111" spans="1:13" x14ac:dyDescent="0.3">
      <c r="A111" t="s">
        <v>2520</v>
      </c>
      <c r="C111" s="26">
        <v>11997</v>
      </c>
      <c r="D111" s="26">
        <v>649019.79999999981</v>
      </c>
      <c r="F111" s="20" t="s">
        <v>2520</v>
      </c>
      <c r="G111" s="20"/>
      <c r="H111" s="20">
        <v>11997</v>
      </c>
      <c r="J111" s="25" t="s">
        <v>2520</v>
      </c>
      <c r="K111" s="25"/>
      <c r="L111" s="25"/>
      <c r="M111" s="25">
        <v>649019.79999999981</v>
      </c>
    </row>
    <row r="112" spans="1:13" x14ac:dyDescent="0.3">
      <c r="A112" t="s">
        <v>2515</v>
      </c>
      <c r="C112" s="26">
        <v>11997</v>
      </c>
      <c r="D112" s="26">
        <v>649019.79999999981</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518" workbookViewId="0">
      <selection activeCell="E9" sqref="A2:O240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3D73A-78B3-4FDB-95C3-832EA3A7BE01}">
  <dimension ref="A1"/>
  <sheetViews>
    <sheetView tabSelected="1" zoomScaleNormal="100" workbookViewId="0">
      <selection activeCell="L10" sqref="L10"/>
    </sheetView>
  </sheetViews>
  <sheetFormatPr defaultRowHeight="14.4" x14ac:dyDescent="0.3"/>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Sheet5</vt:lpstr>
      <vt:lpstr>pivot</vt:lpstr>
      <vt:lpstr>Sheet7</vt:lpstr>
      <vt:lpstr>Sheet3</vt:lpstr>
      <vt:lpstr>Sheet6</vt:lpstr>
      <vt:lpstr>Data</vt:lpstr>
      <vt:lpstr>myd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sana begum</cp:lastModifiedBy>
  <dcterms:created xsi:type="dcterms:W3CDTF">2025-06-13T02:42:26Z</dcterms:created>
  <dcterms:modified xsi:type="dcterms:W3CDTF">2025-11-27T20:53:10Z</dcterms:modified>
</cp:coreProperties>
</file>